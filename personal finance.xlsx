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0400" windowHeight="7755" activeTab="2"/>
  </bookViews>
  <sheets>
    <sheet name="Sheet1" sheetId="1" r:id="rId1"/>
    <sheet name="Sheet8" sheetId="8" r:id="rId2"/>
    <sheet name="Sheet2" sheetId="9" r:id="rId3"/>
    <sheet name="Sheet7" sheetId="7" r:id="rId4"/>
  </sheets>
  <definedNames>
    <definedName name="_xlcn.WorksheetConnection_personalfinance2.xlsxTable11" hidden="1">Table1[]</definedName>
    <definedName name="Slicer_Category">#N/A</definedName>
    <definedName name="Slicer_Discription">#N/A</definedName>
    <definedName name="Slicer_Month">#N/A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9ad4f9b9-780c-485e-aeee-944c28a7a027" name="Table1" connection="WorksheetConnection_personal finance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7" l="1"/>
  <c r="H28" i="7"/>
  <c r="H24" i="7"/>
  <c r="H20" i="7"/>
  <c r="H16" i="7"/>
  <c r="H11" i="7"/>
  <c r="H29" i="1" l="1"/>
  <c r="H23" i="1"/>
  <c r="H19" i="1"/>
  <c r="H15" i="1"/>
  <c r="H11" i="1"/>
  <c r="H6"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ersonal finance (2).xlsx!Table1" type="102" refreshedVersion="5" minRefreshableVersion="5">
    <extLst>
      <ext xmlns:x15="http://schemas.microsoft.com/office/spreadsheetml/2010/11/main" uri="{DE250136-89BD-433C-8126-D09CA5730AF9}">
        <x15:connection id="Table1-9ad4f9b9-780c-485e-aeee-944c28a7a027">
          <x15:rangePr sourceName="_xlcn.WorksheetConnection_personalfinance2.xlsxTable11"/>
        </x15:connection>
      </ext>
    </extLst>
  </connection>
</connections>
</file>

<file path=xl/sharedStrings.xml><?xml version="1.0" encoding="utf-8"?>
<sst xmlns="http://schemas.openxmlformats.org/spreadsheetml/2006/main" count="420" uniqueCount="50">
  <si>
    <t>Date</t>
  </si>
  <si>
    <t>Month</t>
  </si>
  <si>
    <t>Category</t>
  </si>
  <si>
    <t>Discription</t>
  </si>
  <si>
    <t>Actual amount</t>
  </si>
  <si>
    <t>Column1</t>
  </si>
  <si>
    <t>Column2</t>
  </si>
  <si>
    <t>Column3</t>
  </si>
  <si>
    <t>Column4</t>
  </si>
  <si>
    <t>Column5</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</si>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</sst>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7">
    <xf numFmtId="0" fontId="0" fillId="0" borderId="0" xfId="0"/>
    <xf numFmtId="0" fontId="2" fillId="2" borderId="0" xfId="0" applyFont="1" applyFill="1"/>
    <xf numFmtId="0" fontId="1" fillId="2" borderId="0" xfId="0" applyFont="1" applyFill="1"/>
    <xf numFmtId="0" fontId="1" fillId="0" borderId="0" xfId="0" applyFont="1"/>
    <xf numFmtId="14" fontId="0" fillId="0" borderId="0" xfId="0" applyNumberFormat="1"/>
    <xf numFmtId="0" fontId="1" fillId="2" borderId="0" xfId="0" applyFont="1" applyFill="1" applyAlignment="1">
      <alignment vertical="center"/>
    </xf>
    <xf numFmtId="0" fontId="0" fillId="3" borderId="0" xfId="0" applyFill="1"/>
    <xf numFmtId="0" fontId="0" fillId="2" borderId="0" xfId="0" applyFill="1"/>
    <xf numFmtId="14" fontId="3" fillId="4" borderId="0" xfId="0" applyNumberFormat="1" applyFont="1" applyFill="1"/>
    <xf numFmtId="0" fontId="3" fillId="4" borderId="0" xfId="0" applyFont="1" applyFill="1"/>
    <xf numFmtId="14" fontId="3" fillId="0" borderId="0" xfId="0" applyNumberFormat="1" applyFont="1"/>
    <xf numFmtId="0" fontId="3" fillId="0" borderId="0" xfId="0" applyFont="1"/>
    <xf numFmtId="1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finance.xlsx]Sheet8!PivotTable6</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2"/>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1527777777777778"/>
          <c:y val="0.30575605132691741"/>
          <c:w val="0.81388888888888888"/>
          <c:h val="0.69302274715660539"/>
        </c:manualLayout>
      </c:layout>
      <c:barChart>
        <c:barDir val="col"/>
        <c:grouping val="clustered"/>
        <c:varyColors val="0"/>
        <c:ser>
          <c:idx val="0"/>
          <c:order val="0"/>
          <c:tx>
            <c:strRef>
              <c:f>Sheet8!$I$3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dPt>
          <c:dPt>
            <c:idx val="1"/>
            <c:invertIfNegative val="0"/>
            <c:bubble3D val="0"/>
            <c:spPr>
              <a:solidFill>
                <a:schemeClr val="accent1"/>
              </a:solidFill>
              <a:ln w="19050">
                <a:solidFill>
                  <a:schemeClr val="lt1"/>
                </a:solidFill>
              </a:ln>
              <a:effectLst/>
            </c:spPr>
          </c:dPt>
          <c:dPt>
            <c:idx val="2"/>
            <c:invertIfNegative val="0"/>
            <c:bubble3D val="0"/>
            <c:spPr>
              <a:solidFill>
                <a:schemeClr val="accent1"/>
              </a:solidFill>
              <a:ln w="19050">
                <a:solidFill>
                  <a:schemeClr val="lt1"/>
                </a:solidFill>
              </a:ln>
              <a:effectLst/>
            </c:spPr>
          </c:dPt>
          <c:dPt>
            <c:idx val="3"/>
            <c:invertIfNegative val="0"/>
            <c:bubble3D val="0"/>
            <c:spPr>
              <a:solidFill>
                <a:schemeClr val="accent1"/>
              </a:solidFill>
              <a:ln w="19050">
                <a:solidFill>
                  <a:schemeClr val="lt1"/>
                </a:solidFill>
              </a:ln>
              <a:effectLst/>
            </c:spPr>
          </c:dPt>
          <c:dPt>
            <c:idx val="4"/>
            <c:invertIfNegative val="0"/>
            <c:bubble3D val="0"/>
            <c:spPr>
              <a:solidFill>
                <a:schemeClr val="accent1"/>
              </a:solidFill>
              <a:ln w="19050">
                <a:solidFill>
                  <a:schemeClr val="lt1"/>
                </a:solidFill>
              </a:ln>
              <a:effectLst/>
            </c:spPr>
          </c:dPt>
          <c:dPt>
            <c:idx val="5"/>
            <c:invertIfNegative val="0"/>
            <c:bubble3D val="0"/>
            <c:spPr>
              <a:solidFill>
                <a:schemeClr val="accent1"/>
              </a:solidFill>
              <a:ln w="19050">
                <a:solidFill>
                  <a:schemeClr val="lt1"/>
                </a:solidFill>
              </a:ln>
              <a:effectLst/>
            </c:spPr>
          </c:dPt>
          <c:dPt>
            <c:idx val="6"/>
            <c:invertIfNegative val="0"/>
            <c:bubble3D val="0"/>
            <c:spPr>
              <a:solidFill>
                <a:schemeClr val="accent1"/>
              </a:solidFill>
              <a:ln w="19050">
                <a:solidFill>
                  <a:schemeClr val="lt1"/>
                </a:solidFill>
              </a:ln>
              <a:effectLst/>
            </c:spPr>
          </c:dPt>
          <c:dPt>
            <c:idx val="7"/>
            <c:invertIfNegative val="0"/>
            <c:bubble3D val="0"/>
            <c:spPr>
              <a:solidFill>
                <a:schemeClr val="accent1"/>
              </a:solidFill>
              <a:ln w="19050">
                <a:solidFill>
                  <a:schemeClr val="lt1"/>
                </a:solidFill>
              </a:ln>
              <a:effectLst/>
            </c:spPr>
          </c:dPt>
          <c:dPt>
            <c:idx val="8"/>
            <c:invertIfNegative val="0"/>
            <c:bubble3D val="0"/>
            <c:spPr>
              <a:solidFill>
                <a:schemeClr val="accent1"/>
              </a:solidFill>
              <a:ln w="19050">
                <a:solidFill>
                  <a:schemeClr val="lt1"/>
                </a:solidFill>
              </a:ln>
              <a:effectLst/>
            </c:spPr>
          </c:dPt>
          <c:dPt>
            <c:idx val="9"/>
            <c:invertIfNegative val="0"/>
            <c:bubble3D val="0"/>
            <c:spPr>
              <a:solidFill>
                <a:schemeClr val="accent1"/>
              </a:solidFill>
              <a:ln w="19050">
                <a:solidFill>
                  <a:schemeClr val="lt1"/>
                </a:solidFill>
              </a:ln>
              <a:effectLst/>
            </c:spPr>
          </c:dPt>
          <c:dPt>
            <c:idx val="10"/>
            <c:invertIfNegative val="0"/>
            <c:bubble3D val="0"/>
            <c:spPr>
              <a:solidFill>
                <a:schemeClr val="accent1"/>
              </a:solidFill>
              <a:ln w="19050">
                <a:solidFill>
                  <a:schemeClr val="lt1"/>
                </a:solidFill>
              </a:ln>
              <a:effectLst/>
            </c:spPr>
          </c:dPt>
          <c:dPt>
            <c:idx val="11"/>
            <c:invertIfNegative val="0"/>
            <c:bubble3D val="0"/>
            <c:spPr>
              <a:solidFill>
                <a:schemeClr val="accent1"/>
              </a:solidFill>
              <a:ln w="19050">
                <a:solidFill>
                  <a:schemeClr val="lt1"/>
                </a:solidFill>
              </a:ln>
              <a:effectLst/>
            </c:spPr>
          </c:dPt>
          <c:dPt>
            <c:idx val="12"/>
            <c:invertIfNegative val="0"/>
            <c:bubble3D val="0"/>
            <c:spPr>
              <a:solidFill>
                <a:schemeClr val="accent1"/>
              </a:solidFill>
              <a:ln w="19050">
                <a:solidFill>
                  <a:schemeClr val="lt1"/>
                </a:solidFill>
              </a:ln>
              <a:effectLst/>
            </c:spPr>
          </c:dPt>
          <c:dPt>
            <c:idx val="13"/>
            <c:invertIfNegative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showLegendKey val="0"/>
          <c:showVal val="0"/>
          <c:showCatName val="0"/>
          <c:showSerName val="0"/>
          <c:showPercent val="0"/>
          <c:showBubbleSize val="0"/>
        </c:dLbls>
        <c:gapWidth val="100"/>
        <c:axId val="406540320"/>
        <c:axId val="406539144"/>
      </c:barChart>
      <c:catAx>
        <c:axId val="406540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39144"/>
        <c:auto val="1"/>
        <c:lblAlgn val="ctr"/>
        <c:lblOffset val="100"/>
        <c:noMultiLvlLbl val="0"/>
      </c:catAx>
      <c:valAx>
        <c:axId val="406539144"/>
        <c:scaling>
          <c:orientation val="minMax"/>
        </c:scaling>
        <c:delete val="1"/>
        <c:axPos val="l"/>
        <c:numFmt formatCode="General" sourceLinked="1"/>
        <c:majorTickMark val="out"/>
        <c:minorTickMark val="none"/>
        <c:tickLblPos val="nextTo"/>
        <c:crossAx val="406540320"/>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showLegendKey val="0"/>
          <c:showVal val="0"/>
          <c:showCatName val="0"/>
          <c:showSerName val="0"/>
          <c:showPercent val="0"/>
          <c:showBubbleSize val="0"/>
        </c:dLbls>
        <c:axId val="151286840"/>
        <c:axId val="151289584"/>
      </c:areaChart>
      <c:catAx>
        <c:axId val="151286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9584"/>
        <c:crosses val="autoZero"/>
        <c:auto val="1"/>
        <c:lblAlgn val="ctr"/>
        <c:lblOffset val="100"/>
        <c:noMultiLvlLbl val="0"/>
      </c:catAx>
      <c:valAx>
        <c:axId val="151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6840"/>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1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Sheet8!$I$3</c:f>
              <c:strCache>
                <c:ptCount val="1"/>
                <c:pt idx="0">
                  <c:v>Total</c:v>
                </c:pt>
              </c:strCache>
            </c:strRef>
          </c:tx>
          <c:spPr>
            <a:ln w="28575" cap="rnd">
              <a:solidFill>
                <a:schemeClr val="accent1"/>
              </a:solidFill>
              <a:round/>
            </a:ln>
            <a:effectLst/>
          </c:spPr>
          <c:marker>
            <c:symbol val="none"/>
          </c:marke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mooth val="0"/>
        </c:ser>
        <c:dLbls>
          <c:showLegendKey val="0"/>
          <c:showVal val="0"/>
          <c:showCatName val="0"/>
          <c:showSerName val="0"/>
          <c:showPercent val="0"/>
          <c:showBubbleSize val="0"/>
        </c:dLbls>
        <c:smooth val="0"/>
        <c:axId val="151287624"/>
        <c:axId val="151288016"/>
      </c:lineChart>
      <c:catAx>
        <c:axId val="15128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8016"/>
        <c:crosses val="autoZero"/>
        <c:auto val="1"/>
        <c:lblAlgn val="ctr"/>
        <c:lblOffset val="100"/>
        <c:noMultiLvlLbl val="0"/>
      </c:catAx>
      <c:valAx>
        <c:axId val="15128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7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18"/>
  </c:pivotSource>
  <c:chart>
    <c:title>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964526147393221"/>
          <c:y val="0.23163153389934754"/>
          <c:w val="0.70038930968836044"/>
          <c:h val="0.34959159003277457"/>
        </c:manualLayout>
      </c:layout>
      <c:areaChart>
        <c:grouping val="stacked"/>
        <c:varyColors val="0"/>
        <c:ser>
          <c:idx val="0"/>
          <c:order val="0"/>
          <c:tx>
            <c:strRef>
              <c:f>Sheet8!$I$3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1251728"/>
        <c:axId val="151258784"/>
      </c:areaChart>
      <c:catAx>
        <c:axId val="1512517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1258784"/>
        <c:crosses val="autoZero"/>
        <c:auto val="1"/>
        <c:lblAlgn val="ctr"/>
        <c:lblOffset val="100"/>
        <c:noMultiLvlLbl val="0"/>
      </c:catAx>
      <c:valAx>
        <c:axId val="151258784"/>
        <c:scaling>
          <c:orientation val="minMax"/>
        </c:scaling>
        <c:delete val="1"/>
        <c:axPos val="l"/>
        <c:numFmt formatCode="General" sourceLinked="1"/>
        <c:majorTickMark val="out"/>
        <c:minorTickMark val="none"/>
        <c:tickLblPos val="nextTo"/>
        <c:crossAx val="15125172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finance.xlsx]Sheet8!PivotTable6</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5"/>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
        <c:idx val="16"/>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
        <c:idx val="17"/>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3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noFill/>
          <a:ln w="25400" cap="flat" cmpd="sng" algn="ctr">
            <a:solidFill>
              <a:schemeClr val="accent1"/>
            </a:solidFill>
            <a:miter lim="800000"/>
          </a:ln>
          <a:effectLst/>
        </c:spPr>
      </c:pivotFmt>
      <c:pivotFmt>
        <c:idx val="32"/>
        <c:spPr>
          <a:noFill/>
          <a:ln w="25400" cap="flat" cmpd="sng" algn="ctr">
            <a:solidFill>
              <a:schemeClr val="accent1"/>
            </a:solidFill>
            <a:miter lim="800000"/>
          </a:ln>
          <a:effectLst/>
        </c:spPr>
      </c:pivotFmt>
      <c:pivotFmt>
        <c:idx val="33"/>
        <c:spPr>
          <a:noFill/>
          <a:ln w="25400" cap="flat" cmpd="sng" algn="ctr">
            <a:solidFill>
              <a:schemeClr val="accent1"/>
            </a:solidFill>
            <a:miter lim="800000"/>
          </a:ln>
          <a:effectLst/>
        </c:spPr>
      </c:pivotFmt>
      <c:pivotFmt>
        <c:idx val="34"/>
        <c:spPr>
          <a:noFill/>
          <a:ln w="25400" cap="flat" cmpd="sng" algn="ctr">
            <a:solidFill>
              <a:schemeClr val="accent1"/>
            </a:solidFill>
            <a:miter lim="800000"/>
          </a:ln>
          <a:effectLst/>
        </c:spPr>
      </c:pivotFmt>
      <c:pivotFmt>
        <c:idx val="35"/>
        <c:spPr>
          <a:noFill/>
          <a:ln w="25400" cap="flat" cmpd="sng" algn="ctr">
            <a:solidFill>
              <a:schemeClr val="accent1"/>
            </a:solidFill>
            <a:miter lim="800000"/>
          </a:ln>
          <a:effectLst/>
        </c:spPr>
      </c:pivotFmt>
      <c:pivotFmt>
        <c:idx val="36"/>
        <c:spPr>
          <a:noFill/>
          <a:ln w="25400" cap="flat" cmpd="sng" algn="ctr">
            <a:solidFill>
              <a:schemeClr val="accent1"/>
            </a:solidFill>
            <a:miter lim="800000"/>
          </a:ln>
          <a:effectLst/>
        </c:spPr>
      </c:pivotFmt>
      <c:pivotFmt>
        <c:idx val="37"/>
        <c:spPr>
          <a:noFill/>
          <a:ln w="25400" cap="flat" cmpd="sng" algn="ctr">
            <a:solidFill>
              <a:schemeClr val="accent1"/>
            </a:solidFill>
            <a:miter lim="800000"/>
          </a:ln>
          <a:effectLst/>
        </c:spPr>
      </c:pivotFmt>
      <c:pivotFmt>
        <c:idx val="38"/>
        <c:spPr>
          <a:noFill/>
          <a:ln w="25400" cap="flat" cmpd="sng" algn="ctr">
            <a:solidFill>
              <a:schemeClr val="accent1"/>
            </a:solidFill>
            <a:miter lim="800000"/>
          </a:ln>
          <a:effectLst/>
        </c:spPr>
      </c:pivotFmt>
      <c:pivotFmt>
        <c:idx val="39"/>
        <c:spPr>
          <a:noFill/>
          <a:ln w="25400" cap="flat" cmpd="sng" algn="ctr">
            <a:solidFill>
              <a:schemeClr val="accent1"/>
            </a:solidFill>
            <a:miter lim="800000"/>
          </a:ln>
          <a:effectLst/>
        </c:spPr>
      </c:pivotFmt>
      <c:pivotFmt>
        <c:idx val="40"/>
        <c:spPr>
          <a:noFill/>
          <a:ln w="25400" cap="flat" cmpd="sng" algn="ctr">
            <a:solidFill>
              <a:schemeClr val="accent1"/>
            </a:solidFill>
            <a:miter lim="800000"/>
          </a:ln>
          <a:effectLst/>
        </c:spPr>
      </c:pivotFmt>
      <c:pivotFmt>
        <c:idx val="41"/>
        <c:spPr>
          <a:noFill/>
          <a:ln w="25400" cap="flat" cmpd="sng" algn="ctr">
            <a:solidFill>
              <a:schemeClr val="accent1"/>
            </a:solidFill>
            <a:miter lim="800000"/>
          </a:ln>
          <a:effectLst/>
        </c:spPr>
      </c:pivotFmt>
      <c:pivotFmt>
        <c:idx val="42"/>
        <c:spPr>
          <a:noFill/>
          <a:ln w="25400" cap="flat" cmpd="sng" algn="ctr">
            <a:solidFill>
              <a:schemeClr val="accent1"/>
            </a:solidFill>
            <a:miter lim="800000"/>
          </a:ln>
          <a:effectLst/>
        </c:spPr>
      </c:pivotFmt>
      <c:pivotFmt>
        <c:idx val="43"/>
        <c:spPr>
          <a:noFill/>
          <a:ln w="25400" cap="flat" cmpd="sng" algn="ctr">
            <a:solidFill>
              <a:schemeClr val="accent1"/>
            </a:solidFill>
            <a:miter lim="800000"/>
          </a:ln>
          <a:effectLst/>
        </c:spPr>
      </c:pivotFmt>
      <c:pivotFmt>
        <c:idx val="44"/>
        <c:spPr>
          <a:noFill/>
          <a:ln w="25400" cap="flat" cmpd="sng" algn="ctr">
            <a:solidFill>
              <a:schemeClr val="accent1"/>
            </a:solidFill>
            <a:miter lim="800000"/>
          </a:ln>
          <a:effectLst/>
        </c:spPr>
      </c:pivotFmt>
    </c:pivotFmts>
    <c:plotArea>
      <c:layout>
        <c:manualLayout>
          <c:layoutTarget val="inner"/>
          <c:xMode val="edge"/>
          <c:yMode val="edge"/>
          <c:x val="6.723152893244648E-2"/>
          <c:y val="0"/>
          <c:w val="0.81388888888888888"/>
          <c:h val="0.69302274715660539"/>
        </c:manualLayout>
      </c:layout>
      <c:barChart>
        <c:barDir val="col"/>
        <c:grouping val="clustered"/>
        <c:varyColors val="0"/>
        <c:ser>
          <c:idx val="0"/>
          <c:order val="0"/>
          <c:tx>
            <c:strRef>
              <c:f>Sheet8!$I$3</c:f>
              <c:strCache>
                <c:ptCount val="1"/>
                <c:pt idx="0">
                  <c:v>Total</c:v>
                </c:pt>
              </c:strCache>
            </c:strRef>
          </c:tx>
          <c:spPr>
            <a:noFill/>
            <a:ln w="25400" cap="flat" cmpd="sng" algn="ctr">
              <a:solidFill>
                <a:schemeClr val="accent1"/>
              </a:solidFill>
              <a:miter lim="800000"/>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Pt>
            <c:idx val="12"/>
            <c:invertIfNegative val="0"/>
            <c:bubble3D val="0"/>
          </c:dPt>
          <c:dPt>
            <c:idx val="13"/>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dLblPos val="outEnd"/>
          <c:showLegendKey val="0"/>
          <c:showVal val="1"/>
          <c:showCatName val="0"/>
          <c:showSerName val="0"/>
          <c:showPercent val="0"/>
          <c:showBubbleSize val="0"/>
        </c:dLbls>
        <c:gapWidth val="164"/>
        <c:overlap val="-35"/>
        <c:axId val="459992720"/>
        <c:axId val="459997424"/>
      </c:barChart>
      <c:catAx>
        <c:axId val="45999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9997424"/>
        <c:crosses val="autoZero"/>
        <c:auto val="1"/>
        <c:lblAlgn val="ctr"/>
        <c:lblOffset val="100"/>
        <c:noMultiLvlLbl val="0"/>
      </c:catAx>
      <c:valAx>
        <c:axId val="45999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9992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61912</xdr:rowOff>
    </xdr:from>
    <xdr:to>
      <xdr:col>4</xdr:col>
      <xdr:colOff>666750</xdr:colOff>
      <xdr:row>29</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442912</xdr:colOff>
      <xdr:row>25</xdr:row>
      <xdr:rowOff>90487</xdr:rowOff>
    </xdr:from>
    <xdr:to>
      <xdr:col>8</xdr:col>
      <xdr:colOff>1285875</xdr:colOff>
      <xdr:row>42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1314450</xdr:colOff>
      <xdr:row>18</xdr:row>
      <xdr:rowOff>119062</xdr:rowOff>
    </xdr:from>
    <xdr:to>
      <xdr:col>15</xdr:col>
      <xdr:colOff>238125</xdr:colOff>
      <xdr:row>33</xdr:row>
      <xdr:rowOff>147637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371475</xdr:colOff>
      <xdr:row>1</xdr:row>
      <xdr:rowOff>33337</xdr:rowOff>
    </xdr:from>
    <xdr:to>
      <xdr:col>16</xdr:col>
      <xdr:colOff>142875</xdr:colOff>
      <xdr:row>16</xdr:row>
      <xdr:rowOff>61912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1371600</xdr:colOff>
      <xdr:row>34</xdr:row>
      <xdr:rowOff>19050</xdr:rowOff>
    </xdr:from>
    <xdr:to>
      <xdr:col>11</xdr:col>
      <xdr:colOff>295275</xdr:colOff>
      <xdr:row>48</xdr:row>
      <xdr:rowOff>9525</xdr:rowOff>
    </xdr:to>
    <mc:AlternateContent xmlns:mc="http://schemas.openxmlformats.org/markup-compatibility/2006" xmlns:a14="http://schemas.microsoft.com/office/drawing/2010/main">
      <mc:Choice Requires="a14">
        <xdr:graphicFrame macro="">
          <xdr:nvGraphicFramePr>
            <xdr:cNvPr id="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05825" y="617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33</xdr:row>
      <xdr:rowOff>152400</xdr:rowOff>
    </xdr:from>
    <xdr:to>
      <xdr:col>4</xdr:col>
      <xdr:colOff>466725</xdr:colOff>
      <xdr:row>43</xdr:row>
      <xdr:rowOff>85725</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3175" y="612457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34</xdr:row>
      <xdr:rowOff>28575</xdr:rowOff>
    </xdr:from>
    <xdr:to>
      <xdr:col>1</xdr:col>
      <xdr:colOff>1057275</xdr:colOff>
      <xdr:row>48</xdr:row>
      <xdr:rowOff>19050</xdr:rowOff>
    </xdr:to>
    <mc:AlternateContent xmlns:mc="http://schemas.openxmlformats.org/markup-compatibility/2006" xmlns:a14="http://schemas.microsoft.com/office/drawing/2010/main">
      <mc:Choice Requires="a14">
        <xdr:graphicFrame macro="">
          <xdr:nvGraphicFramePr>
            <xdr:cNvPr id="8"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228600" y="618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430162</xdr:colOff>
      <xdr:row>8</xdr:row>
      <xdr:rowOff>30725</xdr:rowOff>
    </xdr:to>
    <xdr:sp macro="" textlink="">
      <xdr:nvSpPr>
        <xdr:cNvPr id="2" name="Rounded Rectangle 1"/>
        <xdr:cNvSpPr/>
      </xdr:nvSpPr>
      <xdr:spPr>
        <a:xfrm>
          <a:off x="0" y="0"/>
          <a:ext cx="13565444" cy="150556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pppppppppppPpp</a:t>
          </a:r>
        </a:p>
      </xdr:txBody>
    </xdr:sp>
    <xdr:clientData/>
  </xdr:twoCellAnchor>
  <xdr:oneCellAnchor>
    <xdr:from>
      <xdr:col>2</xdr:col>
      <xdr:colOff>28575</xdr:colOff>
      <xdr:row>1</xdr:row>
      <xdr:rowOff>123825</xdr:rowOff>
    </xdr:from>
    <xdr:ext cx="184731" cy="252185"/>
    <xdr:sp macro="" textlink="">
      <xdr:nvSpPr>
        <xdr:cNvPr id="3" name="TextBox 2"/>
        <xdr:cNvSpPr txBox="1"/>
      </xdr:nvSpPr>
      <xdr:spPr>
        <a:xfrm>
          <a:off x="1400175" y="30480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400969</xdr:colOff>
      <xdr:row>1</xdr:row>
      <xdr:rowOff>75584</xdr:rowOff>
    </xdr:from>
    <xdr:ext cx="5298668" cy="339214"/>
    <xdr:sp macro="" textlink="">
      <xdr:nvSpPr>
        <xdr:cNvPr id="4" name="TextBox 3"/>
        <xdr:cNvSpPr txBox="1"/>
      </xdr:nvSpPr>
      <xdr:spPr>
        <a:xfrm>
          <a:off x="4548953" y="259939"/>
          <a:ext cx="5298668" cy="339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Personal</a:t>
          </a:r>
          <a:r>
            <a:rPr lang="en-IN" sz="1400" b="1" baseline="0"/>
            <a:t> finance &amp; Budget Management Dashboard</a:t>
          </a:r>
          <a:endParaRPr lang="en-IN" sz="1400" b="1"/>
        </a:p>
      </xdr:txBody>
    </xdr:sp>
    <xdr:clientData/>
  </xdr:oneCellAnchor>
  <xdr:oneCellAnchor>
    <xdr:from>
      <xdr:col>3</xdr:col>
      <xdr:colOff>600075</xdr:colOff>
      <xdr:row>5</xdr:row>
      <xdr:rowOff>19050</xdr:rowOff>
    </xdr:from>
    <xdr:ext cx="184731" cy="252185"/>
    <xdr:sp macro="" textlink="">
      <xdr:nvSpPr>
        <xdr:cNvPr id="5" name="TextBox 4"/>
        <xdr:cNvSpPr txBox="1"/>
      </xdr:nvSpPr>
      <xdr:spPr>
        <a:xfrm>
          <a:off x="2657475" y="923925"/>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629879</xdr:colOff>
      <xdr:row>4</xdr:row>
      <xdr:rowOff>82039</xdr:rowOff>
    </xdr:from>
    <xdr:ext cx="4547419" cy="324769"/>
    <xdr:sp macro="" textlink="">
      <xdr:nvSpPr>
        <xdr:cNvPr id="6" name="TextBox 5"/>
        <xdr:cNvSpPr txBox="1"/>
      </xdr:nvSpPr>
      <xdr:spPr>
        <a:xfrm>
          <a:off x="4777863" y="819458"/>
          <a:ext cx="4547419" cy="32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rgbClr val="FF0000"/>
              </a:solidFill>
            </a:rPr>
            <a:t>personal Budget Monthly Dashboard</a:t>
          </a:r>
        </a:p>
      </xdr:txBody>
    </xdr:sp>
    <xdr:clientData/>
  </xdr:oneCellAnchor>
  <xdr:twoCellAnchor>
    <xdr:from>
      <xdr:col>0</xdr:col>
      <xdr:colOff>0</xdr:colOff>
      <xdr:row>8</xdr:row>
      <xdr:rowOff>34412</xdr:rowOff>
    </xdr:from>
    <xdr:to>
      <xdr:col>5</xdr:col>
      <xdr:colOff>171450</xdr:colOff>
      <xdr:row>14</xdr:row>
      <xdr:rowOff>177287</xdr:rowOff>
    </xdr:to>
    <xdr:sp macro="" textlink="">
      <xdr:nvSpPr>
        <xdr:cNvPr id="7" name="Rounded Rectangle 6"/>
        <xdr:cNvSpPr/>
      </xdr:nvSpPr>
      <xdr:spPr>
        <a:xfrm>
          <a:off x="0" y="1509251"/>
          <a:ext cx="3628103" cy="124900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0</xdr:col>
      <xdr:colOff>0</xdr:colOff>
      <xdr:row>8</xdr:row>
      <xdr:rowOff>53463</xdr:rowOff>
    </xdr:from>
    <xdr:to>
      <xdr:col>2</xdr:col>
      <xdr:colOff>85725</xdr:colOff>
      <xdr:row>15</xdr:row>
      <xdr:rowOff>2458</xdr:rowOff>
    </xdr:to>
    <xdr:sp macro="" textlink="">
      <xdr:nvSpPr>
        <xdr:cNvPr id="9" name="Rounded Rectangle 8"/>
        <xdr:cNvSpPr/>
      </xdr:nvSpPr>
      <xdr:spPr>
        <a:xfrm>
          <a:off x="0" y="1528302"/>
          <a:ext cx="1468386" cy="1239479"/>
        </a:xfrm>
        <a:prstGeom prst="roundRect">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216925</xdr:colOff>
      <xdr:row>9</xdr:row>
      <xdr:rowOff>11061</xdr:rowOff>
    </xdr:from>
    <xdr:ext cx="1993940" cy="324769"/>
    <xdr:sp macro="" textlink="">
      <xdr:nvSpPr>
        <xdr:cNvPr id="10" name="TextBox 9"/>
        <xdr:cNvSpPr txBox="1"/>
      </xdr:nvSpPr>
      <xdr:spPr>
        <a:xfrm>
          <a:off x="1599586" y="1670255"/>
          <a:ext cx="1993940" cy="3247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tx2">
                  <a:lumMod val="90000"/>
                  <a:lumOff val="10000"/>
                </a:schemeClr>
              </a:solidFill>
            </a:rPr>
            <a:t>Total</a:t>
          </a:r>
          <a:r>
            <a:rPr lang="en-IN" sz="1600" b="1" baseline="0">
              <a:solidFill>
                <a:schemeClr val="tx2">
                  <a:lumMod val="90000"/>
                  <a:lumOff val="10000"/>
                </a:schemeClr>
              </a:solidFill>
            </a:rPr>
            <a:t> Expenses</a:t>
          </a:r>
          <a:endParaRPr lang="en-IN" sz="1600" b="1">
            <a:solidFill>
              <a:schemeClr val="tx2">
                <a:lumMod val="90000"/>
                <a:lumOff val="10000"/>
              </a:schemeClr>
            </a:solidFill>
          </a:endParaRPr>
        </a:p>
      </xdr:txBody>
    </xdr:sp>
    <xdr:clientData/>
  </xdr:oneCellAnchor>
  <xdr:oneCellAnchor>
    <xdr:from>
      <xdr:col>3</xdr:col>
      <xdr:colOff>60222</xdr:colOff>
      <xdr:row>12</xdr:row>
      <xdr:rowOff>8911</xdr:rowOff>
    </xdr:from>
    <xdr:ext cx="692497" cy="252185"/>
    <xdr:sp macro="" textlink="Sheet7!H11">
      <xdr:nvSpPr>
        <xdr:cNvPr id="11" name="TextBox 10"/>
        <xdr:cNvSpPr txBox="1"/>
      </xdr:nvSpPr>
      <xdr:spPr>
        <a:xfrm>
          <a:off x="2134214" y="2221169"/>
          <a:ext cx="692497"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821AA9-9324-4E39-B135-8AEAD8251715}" type="TxLink">
            <a:rPr lang="en-US" sz="1100" b="0" i="0" u="none" strike="noStrike">
              <a:solidFill>
                <a:srgbClr val="000000"/>
              </a:solidFill>
              <a:latin typeface="Aptos Narrow"/>
            </a:rPr>
            <a:pPr/>
            <a:t>259100</a:t>
          </a:fld>
          <a:endParaRPr lang="en-IN" sz="1100"/>
        </a:p>
      </xdr:txBody>
    </xdr:sp>
    <xdr:clientData/>
  </xdr:oneCellAnchor>
  <xdr:twoCellAnchor>
    <xdr:from>
      <xdr:col>5</xdr:col>
      <xdr:colOff>163769</xdr:colOff>
      <xdr:row>8</xdr:row>
      <xdr:rowOff>9526</xdr:rowOff>
    </xdr:from>
    <xdr:to>
      <xdr:col>10</xdr:col>
      <xdr:colOff>39944</xdr:colOff>
      <xdr:row>15</xdr:row>
      <xdr:rowOff>47626</xdr:rowOff>
    </xdr:to>
    <xdr:sp macro="" textlink="">
      <xdr:nvSpPr>
        <xdr:cNvPr id="12" name="Rounded Rectangle 11"/>
        <xdr:cNvSpPr/>
      </xdr:nvSpPr>
      <xdr:spPr>
        <a:xfrm>
          <a:off x="3620422" y="1484365"/>
          <a:ext cx="3332828" cy="13285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5</xdr:col>
      <xdr:colOff>182818</xdr:colOff>
      <xdr:row>7</xdr:row>
      <xdr:rowOff>182204</xdr:rowOff>
    </xdr:from>
    <xdr:to>
      <xdr:col>7</xdr:col>
      <xdr:colOff>411418</xdr:colOff>
      <xdr:row>15</xdr:row>
      <xdr:rowOff>61450</xdr:rowOff>
    </xdr:to>
    <xdr:sp macro="" textlink="">
      <xdr:nvSpPr>
        <xdr:cNvPr id="13" name="Rounded Rectangle 12"/>
        <xdr:cNvSpPr/>
      </xdr:nvSpPr>
      <xdr:spPr>
        <a:xfrm>
          <a:off x="3639471" y="1472688"/>
          <a:ext cx="1611262" cy="1354085"/>
        </a:xfrm>
        <a:prstGeom prst="roundRect">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588398</xdr:colOff>
      <xdr:row>8</xdr:row>
      <xdr:rowOff>156701</xdr:rowOff>
    </xdr:from>
    <xdr:ext cx="5310955" cy="554911"/>
    <xdr:sp macro="" textlink="">
      <xdr:nvSpPr>
        <xdr:cNvPr id="14" name="TextBox 13"/>
        <xdr:cNvSpPr txBox="1"/>
      </xdr:nvSpPr>
      <xdr:spPr>
        <a:xfrm>
          <a:off x="5427713" y="1631540"/>
          <a:ext cx="5310955" cy="55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tx2">
                  <a:lumMod val="90000"/>
                  <a:lumOff val="10000"/>
                </a:schemeClr>
              </a:solidFill>
            </a:rPr>
            <a:t>Total</a:t>
          </a:r>
          <a:r>
            <a:rPr lang="en-IN" sz="1100" b="1" baseline="0">
              <a:solidFill>
                <a:schemeClr val="tx2">
                  <a:lumMod val="90000"/>
                  <a:lumOff val="10000"/>
                </a:schemeClr>
              </a:solidFill>
            </a:rPr>
            <a:t> </a:t>
          </a:r>
          <a:r>
            <a:rPr lang="en-IN" sz="1050" b="1" i="1" u="none" baseline="0">
              <a:solidFill>
                <a:schemeClr val="tx2">
                  <a:lumMod val="90000"/>
                  <a:lumOff val="10000"/>
                </a:schemeClr>
              </a:solidFill>
            </a:rPr>
            <a:t>Expenses</a:t>
          </a:r>
          <a:r>
            <a:rPr lang="en-IN" sz="1100" b="1" baseline="0">
              <a:solidFill>
                <a:schemeClr val="tx2">
                  <a:lumMod val="90000"/>
                  <a:lumOff val="10000"/>
                </a:schemeClr>
              </a:solidFill>
            </a:rPr>
            <a:t> by </a:t>
          </a:r>
        </a:p>
        <a:p>
          <a:r>
            <a:rPr lang="en-IN" sz="1100" b="1" baseline="0">
              <a:solidFill>
                <a:schemeClr val="tx2">
                  <a:lumMod val="90000"/>
                  <a:lumOff val="10000"/>
                </a:schemeClr>
              </a:solidFill>
            </a:rPr>
            <a:t>category(food</a:t>
          </a:r>
          <a:r>
            <a:rPr lang="en-IN" sz="1100" baseline="0"/>
            <a:t>)</a:t>
          </a:r>
          <a:endParaRPr lang="en-IN" sz="1100"/>
        </a:p>
      </xdr:txBody>
    </xdr:sp>
    <xdr:clientData/>
  </xdr:oneCellAnchor>
  <xdr:oneCellAnchor>
    <xdr:from>
      <xdr:col>8</xdr:col>
      <xdr:colOff>244884</xdr:colOff>
      <xdr:row>12</xdr:row>
      <xdr:rowOff>38100</xdr:rowOff>
    </xdr:from>
    <xdr:ext cx="607859" cy="252185"/>
    <xdr:sp macro="" textlink="Sheet7!H16">
      <xdr:nvSpPr>
        <xdr:cNvPr id="16" name="TextBox 15"/>
        <xdr:cNvSpPr txBox="1"/>
      </xdr:nvSpPr>
      <xdr:spPr>
        <a:xfrm>
          <a:off x="5775529" y="2250358"/>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3215FD-3572-424C-BDFF-60F1429D8862}" type="TxLink">
            <a:rPr lang="en-US" sz="1100" b="0" i="0" u="none" strike="noStrike">
              <a:solidFill>
                <a:srgbClr val="000000"/>
              </a:solidFill>
              <a:latin typeface="Aptos Narrow"/>
            </a:rPr>
            <a:pPr/>
            <a:t>55800</a:t>
          </a:fld>
          <a:endParaRPr lang="en-IN" sz="1100"/>
        </a:p>
      </xdr:txBody>
    </xdr:sp>
    <xdr:clientData/>
  </xdr:oneCellAnchor>
  <xdr:twoCellAnchor>
    <xdr:from>
      <xdr:col>10</xdr:col>
      <xdr:colOff>54691</xdr:colOff>
      <xdr:row>8</xdr:row>
      <xdr:rowOff>33183</xdr:rowOff>
    </xdr:from>
    <xdr:to>
      <xdr:col>14</xdr:col>
      <xdr:colOff>498372</xdr:colOff>
      <xdr:row>15</xdr:row>
      <xdr:rowOff>23658</xdr:rowOff>
    </xdr:to>
    <xdr:sp macro="" textlink="Sheet7!H20">
      <xdr:nvSpPr>
        <xdr:cNvPr id="19" name="Rounded Rectangle 18"/>
        <xdr:cNvSpPr/>
      </xdr:nvSpPr>
      <xdr:spPr>
        <a:xfrm>
          <a:off x="6967997" y="1508022"/>
          <a:ext cx="3209004" cy="12809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E8B98FF-324F-4D65-B911-47D922ABECEA}" type="TxLink">
            <a:rPr lang="en-US" sz="1100" b="0" i="0" u="none" strike="noStrike">
              <a:solidFill>
                <a:srgbClr val="000000"/>
              </a:solidFill>
              <a:latin typeface="Aptos Narrow"/>
            </a:rPr>
            <a:pPr algn="l"/>
            <a:t>4798.148148</a:t>
          </a:fld>
          <a:endParaRPr lang="en-IN" sz="1100"/>
        </a:p>
      </xdr:txBody>
    </xdr:sp>
    <xdr:clientData/>
  </xdr:twoCellAnchor>
  <xdr:twoCellAnchor>
    <xdr:from>
      <xdr:col>10</xdr:col>
      <xdr:colOff>79582</xdr:colOff>
      <xdr:row>8</xdr:row>
      <xdr:rowOff>15362</xdr:rowOff>
    </xdr:from>
    <xdr:to>
      <xdr:col>12</xdr:col>
      <xdr:colOff>203406</xdr:colOff>
      <xdr:row>15</xdr:row>
      <xdr:rowOff>46088</xdr:rowOff>
    </xdr:to>
    <xdr:sp macro="" textlink="">
      <xdr:nvSpPr>
        <xdr:cNvPr id="20" name="Rounded Rectangle 19"/>
        <xdr:cNvSpPr/>
      </xdr:nvSpPr>
      <xdr:spPr>
        <a:xfrm>
          <a:off x="6992888" y="1490201"/>
          <a:ext cx="1506486" cy="1321210"/>
        </a:xfrm>
        <a:prstGeom prst="roundRect">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537701</xdr:colOff>
      <xdr:row>8</xdr:row>
      <xdr:rowOff>157315</xdr:rowOff>
    </xdr:from>
    <xdr:ext cx="998590" cy="295722"/>
    <xdr:sp macro="" textlink="">
      <xdr:nvSpPr>
        <xdr:cNvPr id="21" name="TextBox 20"/>
        <xdr:cNvSpPr txBox="1"/>
      </xdr:nvSpPr>
      <xdr:spPr>
        <a:xfrm>
          <a:off x="8833669" y="1632154"/>
          <a:ext cx="998590"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2">
                  <a:lumMod val="90000"/>
                  <a:lumOff val="10000"/>
                </a:schemeClr>
              </a:solidFill>
            </a:rPr>
            <a:t>Average</a:t>
          </a:r>
        </a:p>
      </xdr:txBody>
    </xdr:sp>
    <xdr:clientData/>
  </xdr:oneCellAnchor>
  <xdr:oneCellAnchor>
    <xdr:from>
      <xdr:col>12</xdr:col>
      <xdr:colOff>489462</xdr:colOff>
      <xdr:row>12</xdr:row>
      <xdr:rowOff>50697</xdr:rowOff>
    </xdr:from>
    <xdr:ext cx="1115690" cy="302650"/>
    <xdr:sp macro="" textlink="Sheet7!H20">
      <xdr:nvSpPr>
        <xdr:cNvPr id="22" name="TextBox 21"/>
        <xdr:cNvSpPr txBox="1"/>
      </xdr:nvSpPr>
      <xdr:spPr>
        <a:xfrm>
          <a:off x="8785430" y="2262955"/>
          <a:ext cx="1115690" cy="30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2B4F7C8-88EC-4779-BF7C-81416623D0A3}" type="TxLink">
            <a:rPr lang="en-US" sz="1100" b="0" i="0" u="none" strike="noStrike">
              <a:solidFill>
                <a:srgbClr val="000000"/>
              </a:solidFill>
              <a:latin typeface="Aptos Narrow"/>
            </a:rPr>
            <a:pPr/>
            <a:t>4798.148148</a:t>
          </a:fld>
          <a:endParaRPr lang="en-IN" sz="1100"/>
        </a:p>
      </xdr:txBody>
    </xdr:sp>
    <xdr:clientData/>
  </xdr:oneCellAnchor>
  <xdr:twoCellAnchor>
    <xdr:from>
      <xdr:col>14</xdr:col>
      <xdr:colOff>482395</xdr:colOff>
      <xdr:row>8</xdr:row>
      <xdr:rowOff>35949</xdr:rowOff>
    </xdr:from>
    <xdr:to>
      <xdr:col>19</xdr:col>
      <xdr:colOff>399436</xdr:colOff>
      <xdr:row>15</xdr:row>
      <xdr:rowOff>15362</xdr:rowOff>
    </xdr:to>
    <xdr:sp macro="" textlink="">
      <xdr:nvSpPr>
        <xdr:cNvPr id="23" name="Rounded Rectangle 22"/>
        <xdr:cNvSpPr/>
      </xdr:nvSpPr>
      <xdr:spPr>
        <a:xfrm>
          <a:off x="10161024" y="1510788"/>
          <a:ext cx="3373694" cy="126989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tttttttttttttttt</a:t>
          </a:r>
        </a:p>
      </xdr:txBody>
    </xdr:sp>
    <xdr:clientData/>
  </xdr:twoCellAnchor>
  <xdr:twoCellAnchor>
    <xdr:from>
      <xdr:col>14</xdr:col>
      <xdr:colOff>488234</xdr:colOff>
      <xdr:row>8</xdr:row>
      <xdr:rowOff>46089</xdr:rowOff>
    </xdr:from>
    <xdr:to>
      <xdr:col>16</xdr:col>
      <xdr:colOff>593009</xdr:colOff>
      <xdr:row>15</xdr:row>
      <xdr:rowOff>17823</xdr:rowOff>
    </xdr:to>
    <xdr:sp macro="" textlink="">
      <xdr:nvSpPr>
        <xdr:cNvPr id="24" name="Rounded Rectangle 23"/>
        <xdr:cNvSpPr/>
      </xdr:nvSpPr>
      <xdr:spPr>
        <a:xfrm>
          <a:off x="10166863" y="1520928"/>
          <a:ext cx="1487436" cy="1262218"/>
        </a:xfrm>
        <a:prstGeom prst="roundRect">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15364</xdr:colOff>
      <xdr:row>9</xdr:row>
      <xdr:rowOff>46089</xdr:rowOff>
    </xdr:from>
    <xdr:ext cx="1843548" cy="675967"/>
    <xdr:sp macro="" textlink="">
      <xdr:nvSpPr>
        <xdr:cNvPr id="25" name="TextBox 24"/>
        <xdr:cNvSpPr txBox="1"/>
      </xdr:nvSpPr>
      <xdr:spPr>
        <a:xfrm>
          <a:off x="11767985" y="1705283"/>
          <a:ext cx="1843548" cy="6759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tx2">
                  <a:lumMod val="90000"/>
                  <a:lumOff val="10000"/>
                </a:schemeClr>
              </a:solidFill>
            </a:rPr>
            <a:t>Total</a:t>
          </a:r>
          <a:r>
            <a:rPr lang="en-IN" sz="1200" b="1" baseline="0">
              <a:solidFill>
                <a:schemeClr val="tx2">
                  <a:lumMod val="90000"/>
                  <a:lumOff val="10000"/>
                </a:schemeClr>
              </a:solidFill>
            </a:rPr>
            <a:t> Expenses by</a:t>
          </a:r>
        </a:p>
        <a:p>
          <a:r>
            <a:rPr lang="en-IN" sz="1200" b="1" baseline="0">
              <a:solidFill>
                <a:schemeClr val="tx2">
                  <a:lumMod val="90000"/>
                  <a:lumOff val="10000"/>
                </a:schemeClr>
              </a:solidFill>
            </a:rPr>
            <a:t>month</a:t>
          </a:r>
          <a:endParaRPr lang="en-IN" sz="1200" b="1">
            <a:solidFill>
              <a:schemeClr val="tx2">
                <a:lumMod val="90000"/>
                <a:lumOff val="10000"/>
              </a:schemeClr>
            </a:solidFill>
          </a:endParaRPr>
        </a:p>
      </xdr:txBody>
    </xdr:sp>
    <xdr:clientData/>
  </xdr:oneCellAnchor>
  <xdr:oneCellAnchor>
    <xdr:from>
      <xdr:col>17</xdr:col>
      <xdr:colOff>493149</xdr:colOff>
      <xdr:row>12</xdr:row>
      <xdr:rowOff>17821</xdr:rowOff>
    </xdr:from>
    <xdr:ext cx="607859" cy="252185"/>
    <xdr:sp macro="" textlink="Sheet7!H24">
      <xdr:nvSpPr>
        <xdr:cNvPr id="26" name="TextBox 25"/>
        <xdr:cNvSpPr txBox="1"/>
      </xdr:nvSpPr>
      <xdr:spPr>
        <a:xfrm>
          <a:off x="12245770" y="2230079"/>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91BF6A-ABCD-41FD-8465-50E1BA8C247E}" type="TxLink">
            <a:rPr lang="en-US" sz="1100" b="0" i="0" u="none" strike="noStrike">
              <a:solidFill>
                <a:srgbClr val="000000"/>
              </a:solidFill>
              <a:latin typeface="Aptos Narrow"/>
            </a:rPr>
            <a:pPr/>
            <a:t>23900</a:t>
          </a:fld>
          <a:endParaRPr lang="en-IN" sz="1100"/>
        </a:p>
      </xdr:txBody>
    </xdr:sp>
    <xdr:clientData/>
  </xdr:oneCellAnchor>
  <xdr:twoCellAnchor editAs="oneCell">
    <xdr:from>
      <xdr:col>0</xdr:col>
      <xdr:colOff>15363</xdr:colOff>
      <xdr:row>15</xdr:row>
      <xdr:rowOff>30725</xdr:rowOff>
    </xdr:from>
    <xdr:to>
      <xdr:col>2</xdr:col>
      <xdr:colOff>472563</xdr:colOff>
      <xdr:row>29</xdr:row>
      <xdr:rowOff>17821</xdr:rowOff>
    </xdr:to>
    <mc:AlternateContent xmlns:mc="http://schemas.openxmlformats.org/markup-compatibility/2006">
      <mc:Choice xmlns:a14="http://schemas.microsoft.com/office/drawing/2010/main" Requires="a14">
        <xdr:graphicFrame macro="">
          <xdr:nvGraphicFramePr>
            <xdr:cNvPr id="27"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dr:sp macro="" textlink="">
          <xdr:nvSpPr>
            <xdr:cNvPr id="0" name=""/>
            <xdr:cNvSpPr>
              <a:spLocks noTextEdit="1"/>
            </xdr:cNvSpPr>
          </xdr:nvSpPr>
          <xdr:spPr>
            <a:xfrm>
              <a:off x="15363" y="2796048"/>
              <a:ext cx="1839861" cy="2568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0</xdr:rowOff>
    </xdr:from>
    <xdr:to>
      <xdr:col>2</xdr:col>
      <xdr:colOff>457200</xdr:colOff>
      <xdr:row>38</xdr:row>
      <xdr:rowOff>114299</xdr:rowOff>
    </xdr:to>
    <mc:AlternateContent xmlns:mc="http://schemas.openxmlformats.org/markup-compatibility/2006">
      <mc:Choice xmlns:a14="http://schemas.microsoft.com/office/drawing/2010/main" Requires="a14">
        <xdr:graphicFrame macro="">
          <xdr:nvGraphicFramePr>
            <xdr:cNvPr id="2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5346290"/>
              <a:ext cx="1839861" cy="1773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122903</xdr:rowOff>
    </xdr:from>
    <xdr:to>
      <xdr:col>2</xdr:col>
      <xdr:colOff>457200</xdr:colOff>
      <xdr:row>52</xdr:row>
      <xdr:rowOff>109998</xdr:rowOff>
    </xdr:to>
    <mc:AlternateContent xmlns:mc="http://schemas.openxmlformats.org/markup-compatibility/2006">
      <mc:Choice xmlns:a14="http://schemas.microsoft.com/office/drawing/2010/main" Requires="a14">
        <xdr:graphicFrame macro="">
          <xdr:nvGraphicFramePr>
            <xdr:cNvPr id="29"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7128387"/>
              <a:ext cx="1839861" cy="2568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462424</xdr:colOff>
      <xdr:row>15</xdr:row>
      <xdr:rowOff>9523</xdr:rowOff>
    </xdr:from>
    <xdr:to>
      <xdr:col>19</xdr:col>
      <xdr:colOff>399436</xdr:colOff>
      <xdr:row>52</xdr:row>
      <xdr:rowOff>107540</xdr:rowOff>
    </xdr:to>
    <xdr:sp macro="" textlink="">
      <xdr:nvSpPr>
        <xdr:cNvPr id="30" name="Rectangle 29"/>
        <xdr:cNvSpPr/>
      </xdr:nvSpPr>
      <xdr:spPr>
        <a:xfrm>
          <a:off x="1845085" y="2774846"/>
          <a:ext cx="11689633" cy="691914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510662</xdr:colOff>
      <xdr:row>15</xdr:row>
      <xdr:rowOff>177902</xdr:rowOff>
    </xdr:from>
    <xdr:to>
      <xdr:col>18</xdr:col>
      <xdr:colOff>520186</xdr:colOff>
      <xdr:row>33</xdr:row>
      <xdr:rowOff>76814</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15670</xdr:colOff>
      <xdr:row>34</xdr:row>
      <xdr:rowOff>115836</xdr:rowOff>
    </xdr:from>
    <xdr:to>
      <xdr:col>10</xdr:col>
      <xdr:colOff>660605</xdr:colOff>
      <xdr:row>49</xdr:row>
      <xdr:rowOff>147791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153630</xdr:colOff>
      <xdr:row>9</xdr:row>
      <xdr:rowOff>107540</xdr:rowOff>
    </xdr:from>
    <xdr:to>
      <xdr:col>16</xdr:col>
      <xdr:colOff>307258</xdr:colOff>
      <xdr:row>13</xdr:row>
      <xdr:rowOff>168992</xdr:rowOff>
    </xdr:to>
    <xdr:pic>
      <xdr:nvPicPr>
        <xdr:cNvPr id="8" name="Pictur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23590" y="1766734"/>
          <a:ext cx="844958" cy="798871"/>
        </a:xfrm>
        <a:prstGeom prst="rect">
          <a:avLst/>
        </a:prstGeom>
      </xdr:spPr>
    </xdr:pic>
    <xdr:clientData/>
  </xdr:twoCellAnchor>
  <xdr:twoCellAnchor editAs="oneCell">
    <xdr:from>
      <xdr:col>10</xdr:col>
      <xdr:colOff>430162</xdr:colOff>
      <xdr:row>9</xdr:row>
      <xdr:rowOff>92176</xdr:rowOff>
    </xdr:from>
    <xdr:to>
      <xdr:col>11</xdr:col>
      <xdr:colOff>583791</xdr:colOff>
      <xdr:row>14</xdr:row>
      <xdr:rowOff>22311</xdr:rowOff>
    </xdr:to>
    <xdr:pic>
      <xdr:nvPicPr>
        <xdr:cNvPr id="15" name="Pictur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43468" y="1751370"/>
          <a:ext cx="844960" cy="851909"/>
        </a:xfrm>
        <a:prstGeom prst="rect">
          <a:avLst/>
        </a:prstGeom>
      </xdr:spPr>
    </xdr:pic>
    <xdr:clientData/>
  </xdr:twoCellAnchor>
  <xdr:twoCellAnchor editAs="oneCell">
    <xdr:from>
      <xdr:col>5</xdr:col>
      <xdr:colOff>522338</xdr:colOff>
      <xdr:row>9</xdr:row>
      <xdr:rowOff>92177</xdr:rowOff>
    </xdr:from>
    <xdr:to>
      <xdr:col>7</xdr:col>
      <xdr:colOff>15361</xdr:colOff>
      <xdr:row>14</xdr:row>
      <xdr:rowOff>46088</xdr:rowOff>
    </xdr:to>
    <xdr:pic>
      <xdr:nvPicPr>
        <xdr:cNvPr id="17" name="Picture 1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78991" y="1751371"/>
          <a:ext cx="875685" cy="875685"/>
        </a:xfrm>
        <a:prstGeom prst="rect">
          <a:avLst/>
        </a:prstGeom>
      </xdr:spPr>
    </xdr:pic>
    <xdr:clientData/>
  </xdr:twoCellAnchor>
  <xdr:twoCellAnchor editAs="oneCell">
    <xdr:from>
      <xdr:col>0</xdr:col>
      <xdr:colOff>368709</xdr:colOff>
      <xdr:row>9</xdr:row>
      <xdr:rowOff>153629</xdr:rowOff>
    </xdr:from>
    <xdr:to>
      <xdr:col>1</xdr:col>
      <xdr:colOff>445524</xdr:colOff>
      <xdr:row>14</xdr:row>
      <xdr:rowOff>1</xdr:rowOff>
    </xdr:to>
    <xdr:pic>
      <xdr:nvPicPr>
        <xdr:cNvPr id="18" name="Picture 1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8709" y="1812823"/>
          <a:ext cx="768146" cy="768146"/>
        </a:xfrm>
        <a:prstGeom prst="rect">
          <a:avLst/>
        </a:prstGeom>
      </xdr:spPr>
    </xdr:pic>
    <xdr:clientData/>
  </xdr:twoCellAnchor>
  <xdr:twoCellAnchor>
    <xdr:from>
      <xdr:col>3</xdr:col>
      <xdr:colOff>15363</xdr:colOff>
      <xdr:row>16</xdr:row>
      <xdr:rowOff>15364</xdr:rowOff>
    </xdr:from>
    <xdr:to>
      <xdr:col>10</xdr:col>
      <xdr:colOff>629879</xdr:colOff>
      <xdr:row>33</xdr:row>
      <xdr:rowOff>19819</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2.437499652777" createdVersion="5" refreshedVersion="5" minRefreshableVersion="3" recordCount="60">
  <cacheSource type="worksheet">
    <worksheetSource ref="A1:E61" sheet="Sheet7"/>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location ref="H3:I18" firstHeaderRow="1" firstDataRow="1" firstDataCol="1"/>
  <pivotFields count="5">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axis="axisRow" showAll="0">
      <items count="15">
        <item x="6"/>
        <item x="2"/>
        <item x="4"/>
        <item x="11"/>
        <item x="8"/>
        <item x="1"/>
        <item x="0"/>
        <item x="3"/>
        <item x="7"/>
        <item x="9"/>
        <item x="12"/>
        <item x="10"/>
        <item x="5"/>
        <item x="13"/>
        <item t="default"/>
      </items>
    </pivotField>
    <pivotField dataField="1"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Actual amount" fld="4" baseField="0" baseItem="0"/>
  </dataFields>
  <chartFormats count="63">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3" count="1" selected="0">
            <x v="0"/>
          </reference>
        </references>
      </pivotArea>
    </chartFormat>
    <chartFormat chart="16" format="32">
      <pivotArea type="data" outline="0" fieldPosition="0">
        <references count="2">
          <reference field="4294967294" count="1" selected="0">
            <x v="0"/>
          </reference>
          <reference field="3" count="1" selected="0">
            <x v="1"/>
          </reference>
        </references>
      </pivotArea>
    </chartFormat>
    <chartFormat chart="16" format="33">
      <pivotArea type="data" outline="0" fieldPosition="0">
        <references count="2">
          <reference field="4294967294" count="1" selected="0">
            <x v="0"/>
          </reference>
          <reference field="3" count="1" selected="0">
            <x v="2"/>
          </reference>
        </references>
      </pivotArea>
    </chartFormat>
    <chartFormat chart="16" format="34">
      <pivotArea type="data" outline="0" fieldPosition="0">
        <references count="2">
          <reference field="4294967294" count="1" selected="0">
            <x v="0"/>
          </reference>
          <reference field="3" count="1" selected="0">
            <x v="3"/>
          </reference>
        </references>
      </pivotArea>
    </chartFormat>
    <chartFormat chart="16" format="35">
      <pivotArea type="data" outline="0" fieldPosition="0">
        <references count="2">
          <reference field="4294967294" count="1" selected="0">
            <x v="0"/>
          </reference>
          <reference field="3" count="1" selected="0">
            <x v="4"/>
          </reference>
        </references>
      </pivotArea>
    </chartFormat>
    <chartFormat chart="16" format="36">
      <pivotArea type="data" outline="0" fieldPosition="0">
        <references count="2">
          <reference field="4294967294" count="1" selected="0">
            <x v="0"/>
          </reference>
          <reference field="3" count="1" selected="0">
            <x v="5"/>
          </reference>
        </references>
      </pivotArea>
    </chartFormat>
    <chartFormat chart="16" format="37">
      <pivotArea type="data" outline="0" fieldPosition="0">
        <references count="2">
          <reference field="4294967294" count="1" selected="0">
            <x v="0"/>
          </reference>
          <reference field="3" count="1" selected="0">
            <x v="6"/>
          </reference>
        </references>
      </pivotArea>
    </chartFormat>
    <chartFormat chart="16" format="38">
      <pivotArea type="data" outline="0" fieldPosition="0">
        <references count="2">
          <reference field="4294967294" count="1" selected="0">
            <x v="0"/>
          </reference>
          <reference field="3" count="1" selected="0">
            <x v="7"/>
          </reference>
        </references>
      </pivotArea>
    </chartFormat>
    <chartFormat chart="16" format="39">
      <pivotArea type="data" outline="0" fieldPosition="0">
        <references count="2">
          <reference field="4294967294" count="1" selected="0">
            <x v="0"/>
          </reference>
          <reference field="3" count="1" selected="0">
            <x v="8"/>
          </reference>
        </references>
      </pivotArea>
    </chartFormat>
    <chartFormat chart="16" format="40">
      <pivotArea type="data" outline="0" fieldPosition="0">
        <references count="2">
          <reference field="4294967294" count="1" selected="0">
            <x v="0"/>
          </reference>
          <reference field="3" count="1" selected="0">
            <x v="9"/>
          </reference>
        </references>
      </pivotArea>
    </chartFormat>
    <chartFormat chart="16" format="41">
      <pivotArea type="data" outline="0" fieldPosition="0">
        <references count="2">
          <reference field="4294967294" count="1" selected="0">
            <x v="0"/>
          </reference>
          <reference field="3" count="1" selected="0">
            <x v="10"/>
          </reference>
        </references>
      </pivotArea>
    </chartFormat>
    <chartFormat chart="16" format="42">
      <pivotArea type="data" outline="0" fieldPosition="0">
        <references count="2">
          <reference field="4294967294" count="1" selected="0">
            <x v="0"/>
          </reference>
          <reference field="3" count="1" selected="0">
            <x v="11"/>
          </reference>
        </references>
      </pivotArea>
    </chartFormat>
    <chartFormat chart="16" format="43">
      <pivotArea type="data" outline="0" fieldPosition="0">
        <references count="2">
          <reference field="4294967294" count="1" selected="0">
            <x v="0"/>
          </reference>
          <reference field="3" count="1" selected="0">
            <x v="12"/>
          </reference>
        </references>
      </pivotArea>
    </chartFormat>
    <chartFormat chart="16" format="44">
      <pivotArea type="data" outline="0" fieldPosition="0">
        <references count="2">
          <reference field="4294967294" count="1" selected="0">
            <x v="0"/>
          </reference>
          <reference field="3" count="1" selected="0">
            <x v="13"/>
          </reference>
        </references>
      </pivotArea>
    </chartFormat>
    <chartFormat chart="18" format="2"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0"/>
          </reference>
        </references>
      </pivotArea>
    </chartFormat>
    <chartFormat chart="29" format="16">
      <pivotArea type="data" outline="0" fieldPosition="0">
        <references count="2">
          <reference field="4294967294" count="1" selected="0">
            <x v="0"/>
          </reference>
          <reference field="3" count="1" selected="0">
            <x v="0"/>
          </reference>
        </references>
      </pivotArea>
    </chartFormat>
    <chartFormat chart="29" format="17">
      <pivotArea type="data" outline="0" fieldPosition="0">
        <references count="2">
          <reference field="4294967294" count="1" selected="0">
            <x v="0"/>
          </reference>
          <reference field="3" count="1" selected="0">
            <x v="1"/>
          </reference>
        </references>
      </pivotArea>
    </chartFormat>
    <chartFormat chart="29" format="18">
      <pivotArea type="data" outline="0" fieldPosition="0">
        <references count="2">
          <reference field="4294967294" count="1" selected="0">
            <x v="0"/>
          </reference>
          <reference field="3" count="1" selected="0">
            <x v="2"/>
          </reference>
        </references>
      </pivotArea>
    </chartFormat>
    <chartFormat chart="29" format="19">
      <pivotArea type="data" outline="0" fieldPosition="0">
        <references count="2">
          <reference field="4294967294" count="1" selected="0">
            <x v="0"/>
          </reference>
          <reference field="3" count="1" selected="0">
            <x v="3"/>
          </reference>
        </references>
      </pivotArea>
    </chartFormat>
    <chartFormat chart="29" format="20">
      <pivotArea type="data" outline="0" fieldPosition="0">
        <references count="2">
          <reference field="4294967294" count="1" selected="0">
            <x v="0"/>
          </reference>
          <reference field="3" count="1" selected="0">
            <x v="4"/>
          </reference>
        </references>
      </pivotArea>
    </chartFormat>
    <chartFormat chart="29" format="21">
      <pivotArea type="data" outline="0" fieldPosition="0">
        <references count="2">
          <reference field="4294967294" count="1" selected="0">
            <x v="0"/>
          </reference>
          <reference field="3" count="1" selected="0">
            <x v="5"/>
          </reference>
        </references>
      </pivotArea>
    </chartFormat>
    <chartFormat chart="29" format="22">
      <pivotArea type="data" outline="0" fieldPosition="0">
        <references count="2">
          <reference field="4294967294" count="1" selected="0">
            <x v="0"/>
          </reference>
          <reference field="3" count="1" selected="0">
            <x v="6"/>
          </reference>
        </references>
      </pivotArea>
    </chartFormat>
    <chartFormat chart="29" format="23">
      <pivotArea type="data" outline="0" fieldPosition="0">
        <references count="2">
          <reference field="4294967294" count="1" selected="0">
            <x v="0"/>
          </reference>
          <reference field="3" count="1" selected="0">
            <x v="7"/>
          </reference>
        </references>
      </pivotArea>
    </chartFormat>
    <chartFormat chart="29" format="24">
      <pivotArea type="data" outline="0" fieldPosition="0">
        <references count="2">
          <reference field="4294967294" count="1" selected="0">
            <x v="0"/>
          </reference>
          <reference field="3" count="1" selected="0">
            <x v="8"/>
          </reference>
        </references>
      </pivotArea>
    </chartFormat>
    <chartFormat chart="29" format="25">
      <pivotArea type="data" outline="0" fieldPosition="0">
        <references count="2">
          <reference field="4294967294" count="1" selected="0">
            <x v="0"/>
          </reference>
          <reference field="3" count="1" selected="0">
            <x v="9"/>
          </reference>
        </references>
      </pivotArea>
    </chartFormat>
    <chartFormat chart="29" format="26">
      <pivotArea type="data" outline="0" fieldPosition="0">
        <references count="2">
          <reference field="4294967294" count="1" selected="0">
            <x v="0"/>
          </reference>
          <reference field="3" count="1" selected="0">
            <x v="10"/>
          </reference>
        </references>
      </pivotArea>
    </chartFormat>
    <chartFormat chart="29" format="27">
      <pivotArea type="data" outline="0" fieldPosition="0">
        <references count="2">
          <reference field="4294967294" count="1" selected="0">
            <x v="0"/>
          </reference>
          <reference field="3" count="1" selected="0">
            <x v="11"/>
          </reference>
        </references>
      </pivotArea>
    </chartFormat>
    <chartFormat chart="29" format="28">
      <pivotArea type="data" outline="0" fieldPosition="0">
        <references count="2">
          <reference field="4294967294" count="1" selected="0">
            <x v="0"/>
          </reference>
          <reference field="3" count="1" selected="0">
            <x v="12"/>
          </reference>
        </references>
      </pivotArea>
    </chartFormat>
    <chartFormat chart="29" format="29">
      <pivotArea type="data" outline="0" fieldPosition="0">
        <references count="2">
          <reference field="4294967294" count="1" selected="0">
            <x v="0"/>
          </reference>
          <reference field="3" count="1" selected="0">
            <x v="13"/>
          </reference>
        </references>
      </pivotArea>
    </chartFormat>
    <chartFormat chart="30" format="30" series="1">
      <pivotArea type="data" outline="0" fieldPosition="0">
        <references count="1">
          <reference field="4294967294" count="1" selected="0">
            <x v="0"/>
          </reference>
        </references>
      </pivotArea>
    </chartFormat>
    <chartFormat chart="30" format="31">
      <pivotArea type="data" outline="0" fieldPosition="0">
        <references count="2">
          <reference field="4294967294" count="1" selected="0">
            <x v="0"/>
          </reference>
          <reference field="3" count="1" selected="0">
            <x v="0"/>
          </reference>
        </references>
      </pivotArea>
    </chartFormat>
    <chartFormat chart="30" format="32">
      <pivotArea type="data" outline="0" fieldPosition="0">
        <references count="2">
          <reference field="4294967294" count="1" selected="0">
            <x v="0"/>
          </reference>
          <reference field="3" count="1" selected="0">
            <x v="1"/>
          </reference>
        </references>
      </pivotArea>
    </chartFormat>
    <chartFormat chart="30" format="33">
      <pivotArea type="data" outline="0" fieldPosition="0">
        <references count="2">
          <reference field="4294967294" count="1" selected="0">
            <x v="0"/>
          </reference>
          <reference field="3" count="1" selected="0">
            <x v="2"/>
          </reference>
        </references>
      </pivotArea>
    </chartFormat>
    <chartFormat chart="30" format="34">
      <pivotArea type="data" outline="0" fieldPosition="0">
        <references count="2">
          <reference field="4294967294" count="1" selected="0">
            <x v="0"/>
          </reference>
          <reference field="3" count="1" selected="0">
            <x v="3"/>
          </reference>
        </references>
      </pivotArea>
    </chartFormat>
    <chartFormat chart="30" format="35">
      <pivotArea type="data" outline="0" fieldPosition="0">
        <references count="2">
          <reference field="4294967294" count="1" selected="0">
            <x v="0"/>
          </reference>
          <reference field="3" count="1" selected="0">
            <x v="4"/>
          </reference>
        </references>
      </pivotArea>
    </chartFormat>
    <chartFormat chart="30" format="36">
      <pivotArea type="data" outline="0" fieldPosition="0">
        <references count="2">
          <reference field="4294967294" count="1" selected="0">
            <x v="0"/>
          </reference>
          <reference field="3" count="1" selected="0">
            <x v="5"/>
          </reference>
        </references>
      </pivotArea>
    </chartFormat>
    <chartFormat chart="30" format="37">
      <pivotArea type="data" outline="0" fieldPosition="0">
        <references count="2">
          <reference field="4294967294" count="1" selected="0">
            <x v="0"/>
          </reference>
          <reference field="3" count="1" selected="0">
            <x v="6"/>
          </reference>
        </references>
      </pivotArea>
    </chartFormat>
    <chartFormat chart="30" format="38">
      <pivotArea type="data" outline="0" fieldPosition="0">
        <references count="2">
          <reference field="4294967294" count="1" selected="0">
            <x v="0"/>
          </reference>
          <reference field="3" count="1" selected="0">
            <x v="7"/>
          </reference>
        </references>
      </pivotArea>
    </chartFormat>
    <chartFormat chart="30" format="39">
      <pivotArea type="data" outline="0" fieldPosition="0">
        <references count="2">
          <reference field="4294967294" count="1" selected="0">
            <x v="0"/>
          </reference>
          <reference field="3" count="1" selected="0">
            <x v="8"/>
          </reference>
        </references>
      </pivotArea>
    </chartFormat>
    <chartFormat chart="30" format="40">
      <pivotArea type="data" outline="0" fieldPosition="0">
        <references count="2">
          <reference field="4294967294" count="1" selected="0">
            <x v="0"/>
          </reference>
          <reference field="3" count="1" selected="0">
            <x v="9"/>
          </reference>
        </references>
      </pivotArea>
    </chartFormat>
    <chartFormat chart="30" format="41">
      <pivotArea type="data" outline="0" fieldPosition="0">
        <references count="2">
          <reference field="4294967294" count="1" selected="0">
            <x v="0"/>
          </reference>
          <reference field="3" count="1" selected="0">
            <x v="10"/>
          </reference>
        </references>
      </pivotArea>
    </chartFormat>
    <chartFormat chart="30" format="42">
      <pivotArea type="data" outline="0" fieldPosition="0">
        <references count="2">
          <reference field="4294967294" count="1" selected="0">
            <x v="0"/>
          </reference>
          <reference field="3" count="1" selected="0">
            <x v="11"/>
          </reference>
        </references>
      </pivotArea>
    </chartFormat>
    <chartFormat chart="30" format="43">
      <pivotArea type="data" outline="0" fieldPosition="0">
        <references count="2">
          <reference field="4294967294" count="1" selected="0">
            <x v="0"/>
          </reference>
          <reference field="3" count="1" selected="0">
            <x v="12"/>
          </reference>
        </references>
      </pivotArea>
    </chartFormat>
    <chartFormat chart="30" format="44">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6" format="11">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8"/>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8"/>
  </pivotTables>
  <data>
    <tabular pivotCacheId="1">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8" name="PivotTable8"/>
  </pivotTables>
  <data>
    <tabular pivotCacheId="1">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ategory" cache="Slicer_Category" caption="Category" rowHeight="241300"/>
  <slicer name="Discription" cache="Slicer_Discription" caption="Discription" startItem="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41300"/>
  <slicer name="Category 1" cache="Slicer_Category" caption="Category" rowHeight="241300"/>
  <slicer name="Discription 1" cache="Slicer_Discription" caption="Discription" rowHeight="241300"/>
</slicers>
</file>

<file path=xl/tables/table1.xml><?xml version="1.0" encoding="utf-8"?>
<table xmlns="http://schemas.openxmlformats.org/spreadsheetml/2006/main" id="1" name="Table1" displayName="Table1" ref="A2:E62" totalsRowShown="0">
  <autoFilter ref="A2:E62"/>
  <tableColumns count="5">
    <tableColumn id="1" name="Column1" dataDxfId="0"/>
    <tableColumn id="2" name="Column2"/>
    <tableColumn id="3" name="Column3"/>
    <tableColumn id="4" name="Column4"/>
    <tableColumn id="5" name="Column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selection activeCell="H5" sqref="H5:H29"/>
    </sheetView>
  </sheetViews>
  <sheetFormatPr defaultRowHeight="14.25"/>
  <cols>
    <col min="1" max="1" width="10.375" bestFit="1" customWidth="1"/>
    <col min="2" max="2" width="10.125" customWidth="1"/>
    <col min="3" max="3" width="13.5" customWidth="1"/>
    <col min="4" max="4" width="17.625" customWidth="1"/>
    <col min="5" max="5" width="16.75" customWidth="1"/>
    <col min="8" max="8" width="32.375" customWidth="1"/>
  </cols>
  <sheetData>
    <row r="1" spans="1:8" ht="15.75">
      <c r="A1" s="1" t="s">
        <v>0</v>
      </c>
      <c r="B1" s="2" t="s">
        <v>1</v>
      </c>
      <c r="C1" s="2" t="s">
        <v>2</v>
      </c>
      <c r="D1" s="2" t="s">
        <v>3</v>
      </c>
      <c r="E1" s="2" t="s">
        <v>4</v>
      </c>
      <c r="F1" s="3"/>
    </row>
    <row r="2" spans="1:8">
      <c r="A2" s="4" t="s">
        <v>5</v>
      </c>
      <c r="B2" t="s">
        <v>6</v>
      </c>
      <c r="C2" t="s">
        <v>7</v>
      </c>
      <c r="D2" t="s">
        <v>8</v>
      </c>
      <c r="E2" t="s">
        <v>9</v>
      </c>
    </row>
    <row r="3" spans="1:8">
      <c r="A3" s="4">
        <v>45662</v>
      </c>
      <c r="B3" t="s">
        <v>10</v>
      </c>
      <c r="C3" t="s">
        <v>11</v>
      </c>
      <c r="D3" t="s">
        <v>12</v>
      </c>
      <c r="E3">
        <v>12000</v>
      </c>
    </row>
    <row r="4" spans="1:8">
      <c r="A4" s="4">
        <v>45665</v>
      </c>
      <c r="B4" t="s">
        <v>10</v>
      </c>
      <c r="C4" t="s">
        <v>13</v>
      </c>
      <c r="D4" t="s">
        <v>14</v>
      </c>
      <c r="E4">
        <v>4200</v>
      </c>
    </row>
    <row r="5" spans="1:8" ht="15">
      <c r="A5" s="4">
        <v>45669</v>
      </c>
      <c r="B5" t="s">
        <v>10</v>
      </c>
      <c r="C5" t="s">
        <v>15</v>
      </c>
      <c r="D5" t="s">
        <v>16</v>
      </c>
      <c r="E5">
        <v>2800</v>
      </c>
      <c r="H5" s="5" t="s">
        <v>17</v>
      </c>
    </row>
    <row r="6" spans="1:8">
      <c r="A6" s="4">
        <v>45675</v>
      </c>
      <c r="B6" t="s">
        <v>10</v>
      </c>
      <c r="C6" t="s">
        <v>18</v>
      </c>
      <c r="D6" t="s">
        <v>19</v>
      </c>
      <c r="E6">
        <v>2300</v>
      </c>
      <c r="H6" s="6">
        <f>SUM(E3:E62)</f>
        <v>295000</v>
      </c>
    </row>
    <row r="7" spans="1:8">
      <c r="A7" s="4">
        <v>45682</v>
      </c>
      <c r="B7" t="s">
        <v>10</v>
      </c>
      <c r="C7" t="s">
        <v>20</v>
      </c>
      <c r="D7" t="s">
        <v>21</v>
      </c>
      <c r="E7">
        <v>2600</v>
      </c>
    </row>
    <row r="8" spans="1:8">
      <c r="A8" s="4">
        <v>45693</v>
      </c>
      <c r="B8" t="s">
        <v>22</v>
      </c>
      <c r="C8" t="s">
        <v>11</v>
      </c>
      <c r="D8" t="s">
        <v>12</v>
      </c>
      <c r="E8">
        <v>12000</v>
      </c>
    </row>
    <row r="9" spans="1:8">
      <c r="A9" s="4">
        <v>45697</v>
      </c>
      <c r="B9" t="s">
        <v>22</v>
      </c>
      <c r="C9" t="s">
        <v>13</v>
      </c>
      <c r="D9" t="s">
        <v>14</v>
      </c>
      <c r="E9">
        <v>5100</v>
      </c>
    </row>
    <row r="10" spans="1:8" ht="15">
      <c r="A10" s="4">
        <v>45700</v>
      </c>
      <c r="B10" t="s">
        <v>22</v>
      </c>
      <c r="C10" t="s">
        <v>15</v>
      </c>
      <c r="D10" t="s">
        <v>16</v>
      </c>
      <c r="E10">
        <v>3200</v>
      </c>
      <c r="H10" s="2" t="s">
        <v>23</v>
      </c>
    </row>
    <row r="11" spans="1:8">
      <c r="A11" s="4">
        <v>45706</v>
      </c>
      <c r="B11" t="s">
        <v>22</v>
      </c>
      <c r="C11" t="s">
        <v>18</v>
      </c>
      <c r="D11" t="s">
        <v>19</v>
      </c>
      <c r="E11">
        <v>1900</v>
      </c>
      <c r="H11" s="6">
        <f>SUMIF(C:C,"food",E:E)</f>
        <v>55800</v>
      </c>
    </row>
    <row r="12" spans="1:8">
      <c r="A12" s="4">
        <v>45712</v>
      </c>
      <c r="B12" t="s">
        <v>22</v>
      </c>
      <c r="C12" t="s">
        <v>20</v>
      </c>
      <c r="D12" t="s">
        <v>24</v>
      </c>
      <c r="E12">
        <v>2400</v>
      </c>
    </row>
    <row r="13" spans="1:8">
      <c r="A13" s="4">
        <v>45721</v>
      </c>
      <c r="B13" t="s">
        <v>25</v>
      </c>
      <c r="C13" t="s">
        <v>11</v>
      </c>
      <c r="D13" t="s">
        <v>12</v>
      </c>
      <c r="E13">
        <v>12000</v>
      </c>
    </row>
    <row r="14" spans="1:8" ht="15">
      <c r="A14" s="4">
        <v>45724</v>
      </c>
      <c r="B14" t="s">
        <v>25</v>
      </c>
      <c r="C14" t="s">
        <v>13</v>
      </c>
      <c r="D14" t="s">
        <v>14</v>
      </c>
      <c r="E14">
        <v>3900</v>
      </c>
      <c r="H14" s="2" t="s">
        <v>26</v>
      </c>
    </row>
    <row r="15" spans="1:8">
      <c r="A15" s="4">
        <v>45730</v>
      </c>
      <c r="B15" t="s">
        <v>25</v>
      </c>
      <c r="C15" t="s">
        <v>15</v>
      </c>
      <c r="D15" t="s">
        <v>27</v>
      </c>
      <c r="E15">
        <v>2600</v>
      </c>
      <c r="H15" s="6">
        <f>AVERAGE(E3:E62)</f>
        <v>4916.666666666667</v>
      </c>
    </row>
    <row r="16" spans="1:8">
      <c r="A16" s="4">
        <v>45736</v>
      </c>
      <c r="B16" t="s">
        <v>25</v>
      </c>
      <c r="C16" t="s">
        <v>18</v>
      </c>
      <c r="D16" t="s">
        <v>28</v>
      </c>
      <c r="E16">
        <v>1500</v>
      </c>
    </row>
    <row r="17" spans="1:8">
      <c r="A17" s="4">
        <v>45742</v>
      </c>
      <c r="B17" t="s">
        <v>25</v>
      </c>
      <c r="C17" t="s">
        <v>20</v>
      </c>
      <c r="D17" t="s">
        <v>21</v>
      </c>
      <c r="E17">
        <v>2300</v>
      </c>
    </row>
    <row r="18" spans="1:8">
      <c r="A18" s="4">
        <v>45752</v>
      </c>
      <c r="B18" t="s">
        <v>29</v>
      </c>
      <c r="C18" t="s">
        <v>11</v>
      </c>
      <c r="D18" t="s">
        <v>12</v>
      </c>
      <c r="E18">
        <v>12000</v>
      </c>
      <c r="H18" s="7" t="s">
        <v>30</v>
      </c>
    </row>
    <row r="19" spans="1:8">
      <c r="A19" s="4">
        <v>45756</v>
      </c>
      <c r="B19" t="s">
        <v>29</v>
      </c>
      <c r="C19" t="s">
        <v>13</v>
      </c>
      <c r="D19" t="s">
        <v>14</v>
      </c>
      <c r="E19">
        <v>4500</v>
      </c>
      <c r="H19" s="6">
        <f>SUMIF(B:B,"January",E:E)</f>
        <v>23900</v>
      </c>
    </row>
    <row r="20" spans="1:8">
      <c r="A20" s="4">
        <v>45760</v>
      </c>
      <c r="B20" t="s">
        <v>29</v>
      </c>
      <c r="C20" t="s">
        <v>15</v>
      </c>
      <c r="D20" t="s">
        <v>31</v>
      </c>
      <c r="E20">
        <v>3000</v>
      </c>
    </row>
    <row r="21" spans="1:8">
      <c r="A21" s="4">
        <v>45766</v>
      </c>
      <c r="B21" t="s">
        <v>29</v>
      </c>
      <c r="C21" t="s">
        <v>18</v>
      </c>
      <c r="D21" t="s">
        <v>19</v>
      </c>
      <c r="E21">
        <v>2200</v>
      </c>
    </row>
    <row r="22" spans="1:8">
      <c r="A22" s="4">
        <v>45772</v>
      </c>
      <c r="B22" t="s">
        <v>29</v>
      </c>
      <c r="C22" t="s">
        <v>20</v>
      </c>
      <c r="D22" t="s">
        <v>21</v>
      </c>
      <c r="E22">
        <v>2500</v>
      </c>
      <c r="H22" s="7" t="s">
        <v>32</v>
      </c>
    </row>
    <row r="23" spans="1:8">
      <c r="A23" s="4">
        <v>45782</v>
      </c>
      <c r="B23" t="s">
        <v>33</v>
      </c>
      <c r="C23" t="s">
        <v>11</v>
      </c>
      <c r="D23" t="s">
        <v>12</v>
      </c>
      <c r="E23">
        <v>12000</v>
      </c>
      <c r="H23" s="6">
        <f>SUMIFS(E:E,B:B,"January",C:C,"Food")</f>
        <v>4200</v>
      </c>
    </row>
    <row r="24" spans="1:8">
      <c r="A24" s="4">
        <v>45785</v>
      </c>
      <c r="B24" t="s">
        <v>33</v>
      </c>
      <c r="C24" t="s">
        <v>13</v>
      </c>
      <c r="D24" t="s">
        <v>14</v>
      </c>
      <c r="E24">
        <v>4800</v>
      </c>
    </row>
    <row r="25" spans="1:8">
      <c r="A25" s="4">
        <v>45791</v>
      </c>
      <c r="B25" t="s">
        <v>33</v>
      </c>
      <c r="C25" t="s">
        <v>15</v>
      </c>
      <c r="D25" t="s">
        <v>31</v>
      </c>
      <c r="E25">
        <v>2900</v>
      </c>
    </row>
    <row r="26" spans="1:8">
      <c r="A26" s="4">
        <v>45797</v>
      </c>
      <c r="B26" t="s">
        <v>33</v>
      </c>
      <c r="C26" t="s">
        <v>18</v>
      </c>
      <c r="D26" t="s">
        <v>34</v>
      </c>
      <c r="E26">
        <v>2100</v>
      </c>
    </row>
    <row r="27" spans="1:8">
      <c r="A27" s="4">
        <v>45803</v>
      </c>
      <c r="B27" t="s">
        <v>33</v>
      </c>
      <c r="C27" t="s">
        <v>20</v>
      </c>
      <c r="D27" t="s">
        <v>21</v>
      </c>
      <c r="E27">
        <v>2600</v>
      </c>
    </row>
    <row r="28" spans="1:8">
      <c r="A28" s="4">
        <v>45813</v>
      </c>
      <c r="B28" t="s">
        <v>35</v>
      </c>
      <c r="C28" t="s">
        <v>11</v>
      </c>
      <c r="D28" t="s">
        <v>12</v>
      </c>
      <c r="E28">
        <v>12000</v>
      </c>
      <c r="H28" s="7" t="s">
        <v>36</v>
      </c>
    </row>
    <row r="29" spans="1:8">
      <c r="A29" s="4">
        <v>45817</v>
      </c>
      <c r="B29" t="s">
        <v>35</v>
      </c>
      <c r="C29" t="s">
        <v>13</v>
      </c>
      <c r="D29" t="s">
        <v>14</v>
      </c>
      <c r="E29">
        <v>5200</v>
      </c>
      <c r="H29" s="6">
        <f>AVERAGEIF(B:B,"January",E:E)</f>
        <v>4780</v>
      </c>
    </row>
    <row r="30" spans="1:8">
      <c r="A30" s="4">
        <v>45821</v>
      </c>
      <c r="B30" t="s">
        <v>35</v>
      </c>
      <c r="C30" t="s">
        <v>15</v>
      </c>
      <c r="D30" t="s">
        <v>31</v>
      </c>
      <c r="E30">
        <v>3300</v>
      </c>
    </row>
    <row r="31" spans="1:8">
      <c r="A31" s="4">
        <v>45826</v>
      </c>
      <c r="B31" t="s">
        <v>35</v>
      </c>
      <c r="C31" t="s">
        <v>18</v>
      </c>
      <c r="D31" t="s">
        <v>37</v>
      </c>
      <c r="E31">
        <v>2800</v>
      </c>
    </row>
    <row r="32" spans="1:8">
      <c r="A32" s="4">
        <v>45833</v>
      </c>
      <c r="B32" t="s">
        <v>35</v>
      </c>
      <c r="C32" t="s">
        <v>20</v>
      </c>
      <c r="D32" t="s">
        <v>21</v>
      </c>
      <c r="E32">
        <v>2700</v>
      </c>
    </row>
    <row r="33" spans="1:5">
      <c r="A33" s="4">
        <v>45843</v>
      </c>
      <c r="B33" t="s">
        <v>38</v>
      </c>
      <c r="C33" t="s">
        <v>11</v>
      </c>
      <c r="D33" t="s">
        <v>12</v>
      </c>
      <c r="E33">
        <v>12000</v>
      </c>
    </row>
    <row r="34" spans="1:5">
      <c r="A34" s="4">
        <v>45846</v>
      </c>
      <c r="B34" t="s">
        <v>38</v>
      </c>
      <c r="C34" t="s">
        <v>13</v>
      </c>
      <c r="D34" t="s">
        <v>14</v>
      </c>
      <c r="E34">
        <v>4100</v>
      </c>
    </row>
    <row r="35" spans="1:5">
      <c r="A35" s="4">
        <v>45850</v>
      </c>
      <c r="B35" t="s">
        <v>38</v>
      </c>
      <c r="C35" t="s">
        <v>15</v>
      </c>
      <c r="D35" t="s">
        <v>27</v>
      </c>
      <c r="E35">
        <v>2600</v>
      </c>
    </row>
    <row r="36" spans="1:5">
      <c r="A36" s="4">
        <v>45857</v>
      </c>
      <c r="B36" t="s">
        <v>38</v>
      </c>
      <c r="C36" t="s">
        <v>18</v>
      </c>
      <c r="D36" t="s">
        <v>19</v>
      </c>
      <c r="E36">
        <v>1800</v>
      </c>
    </row>
    <row r="37" spans="1:5">
      <c r="A37" s="4">
        <v>45864</v>
      </c>
      <c r="B37" t="s">
        <v>38</v>
      </c>
      <c r="C37" t="s">
        <v>20</v>
      </c>
      <c r="D37" t="s">
        <v>21</v>
      </c>
      <c r="E37">
        <v>2400</v>
      </c>
    </row>
    <row r="38" spans="1:5">
      <c r="A38" s="4">
        <v>45874</v>
      </c>
      <c r="B38" t="s">
        <v>39</v>
      </c>
      <c r="C38" t="s">
        <v>11</v>
      </c>
      <c r="D38" t="s">
        <v>12</v>
      </c>
      <c r="E38">
        <v>12000</v>
      </c>
    </row>
    <row r="39" spans="1:5">
      <c r="A39" s="4">
        <v>45878</v>
      </c>
      <c r="B39" t="s">
        <v>39</v>
      </c>
      <c r="C39" t="s">
        <v>13</v>
      </c>
      <c r="D39" t="s">
        <v>14</v>
      </c>
      <c r="E39">
        <v>4700</v>
      </c>
    </row>
    <row r="40" spans="1:5">
      <c r="A40" s="4">
        <v>45883</v>
      </c>
      <c r="B40" t="s">
        <v>39</v>
      </c>
      <c r="C40" t="s">
        <v>15</v>
      </c>
      <c r="D40" t="s">
        <v>31</v>
      </c>
      <c r="E40">
        <v>3100</v>
      </c>
    </row>
    <row r="41" spans="1:5">
      <c r="A41" s="4">
        <v>45889</v>
      </c>
      <c r="B41" t="s">
        <v>39</v>
      </c>
      <c r="C41" t="s">
        <v>18</v>
      </c>
      <c r="D41" t="s">
        <v>34</v>
      </c>
      <c r="E41">
        <v>2200</v>
      </c>
    </row>
    <row r="42" spans="1:5">
      <c r="A42" s="4">
        <v>45895</v>
      </c>
      <c r="B42" t="s">
        <v>39</v>
      </c>
      <c r="C42" t="s">
        <v>20</v>
      </c>
      <c r="D42" t="s">
        <v>21</v>
      </c>
      <c r="E42">
        <v>2500</v>
      </c>
    </row>
    <row r="43" spans="1:5">
      <c r="A43" s="4">
        <v>45905</v>
      </c>
      <c r="B43" t="s">
        <v>40</v>
      </c>
      <c r="C43" t="s">
        <v>11</v>
      </c>
      <c r="D43" t="s">
        <v>12</v>
      </c>
      <c r="E43">
        <v>12000</v>
      </c>
    </row>
    <row r="44" spans="1:5">
      <c r="A44" s="4">
        <v>45908</v>
      </c>
      <c r="B44" t="s">
        <v>40</v>
      </c>
      <c r="C44" t="s">
        <v>13</v>
      </c>
      <c r="D44" t="s">
        <v>14</v>
      </c>
      <c r="E44">
        <v>4300</v>
      </c>
    </row>
    <row r="45" spans="1:5">
      <c r="A45" s="4">
        <v>45913</v>
      </c>
      <c r="B45" t="s">
        <v>40</v>
      </c>
      <c r="C45" t="s">
        <v>15</v>
      </c>
      <c r="D45" t="s">
        <v>27</v>
      </c>
      <c r="E45">
        <v>2700</v>
      </c>
    </row>
    <row r="46" spans="1:5">
      <c r="A46" s="4">
        <v>45918</v>
      </c>
      <c r="B46" t="s">
        <v>40</v>
      </c>
      <c r="C46" t="s">
        <v>18</v>
      </c>
      <c r="D46" t="s">
        <v>28</v>
      </c>
      <c r="E46">
        <v>2000</v>
      </c>
    </row>
    <row r="47" spans="1:5">
      <c r="A47" s="4">
        <v>45925</v>
      </c>
      <c r="B47" t="s">
        <v>40</v>
      </c>
      <c r="C47" t="s">
        <v>20</v>
      </c>
      <c r="D47" t="s">
        <v>21</v>
      </c>
      <c r="E47">
        <v>2400</v>
      </c>
    </row>
    <row r="48" spans="1:5">
      <c r="A48" s="4">
        <v>45935</v>
      </c>
      <c r="B48" t="s">
        <v>41</v>
      </c>
      <c r="C48" t="s">
        <v>11</v>
      </c>
      <c r="D48" t="s">
        <v>12</v>
      </c>
      <c r="E48">
        <v>12000</v>
      </c>
    </row>
    <row r="49" spans="1:5">
      <c r="A49" s="4">
        <v>45939</v>
      </c>
      <c r="B49" t="s">
        <v>41</v>
      </c>
      <c r="C49" t="s">
        <v>13</v>
      </c>
      <c r="D49" t="s">
        <v>14</v>
      </c>
      <c r="E49">
        <v>5000</v>
      </c>
    </row>
    <row r="50" spans="1:5">
      <c r="A50" s="4">
        <v>45944</v>
      </c>
      <c r="B50" t="s">
        <v>41</v>
      </c>
      <c r="C50" t="s">
        <v>15</v>
      </c>
      <c r="D50" t="s">
        <v>31</v>
      </c>
      <c r="E50">
        <v>3200</v>
      </c>
    </row>
    <row r="51" spans="1:5">
      <c r="A51" s="4">
        <v>45950</v>
      </c>
      <c r="B51" t="s">
        <v>41</v>
      </c>
      <c r="C51" t="s">
        <v>18</v>
      </c>
      <c r="D51" t="s">
        <v>42</v>
      </c>
      <c r="E51">
        <v>3500</v>
      </c>
    </row>
    <row r="52" spans="1:5">
      <c r="A52" s="4">
        <v>45956</v>
      </c>
      <c r="B52" t="s">
        <v>41</v>
      </c>
      <c r="C52" t="s">
        <v>20</v>
      </c>
      <c r="D52" t="s">
        <v>21</v>
      </c>
      <c r="E52">
        <v>2800</v>
      </c>
    </row>
    <row r="53" spans="1:5">
      <c r="A53" s="4">
        <v>45966</v>
      </c>
      <c r="B53" t="s">
        <v>43</v>
      </c>
      <c r="C53" t="s">
        <v>11</v>
      </c>
      <c r="D53" t="s">
        <v>12</v>
      </c>
      <c r="E53">
        <v>12000</v>
      </c>
    </row>
    <row r="54" spans="1:5">
      <c r="A54" s="4">
        <v>45969</v>
      </c>
      <c r="B54" t="s">
        <v>43</v>
      </c>
      <c r="C54" t="s">
        <v>13</v>
      </c>
      <c r="D54" t="s">
        <v>14</v>
      </c>
      <c r="E54">
        <v>4600</v>
      </c>
    </row>
    <row r="55" spans="1:5">
      <c r="A55" s="4">
        <v>45974</v>
      </c>
      <c r="B55" t="s">
        <v>43</v>
      </c>
      <c r="C55" t="s">
        <v>15</v>
      </c>
      <c r="D55" t="s">
        <v>31</v>
      </c>
      <c r="E55">
        <v>3000</v>
      </c>
    </row>
    <row r="56" spans="1:5">
      <c r="A56" s="4">
        <v>45980</v>
      </c>
      <c r="B56" t="s">
        <v>43</v>
      </c>
      <c r="C56" t="s">
        <v>18</v>
      </c>
      <c r="D56" t="s">
        <v>19</v>
      </c>
      <c r="E56">
        <v>2100</v>
      </c>
    </row>
    <row r="57" spans="1:5">
      <c r="A57" s="4">
        <v>45986</v>
      </c>
      <c r="B57" t="s">
        <v>43</v>
      </c>
      <c r="C57" t="s">
        <v>20</v>
      </c>
      <c r="D57" t="s">
        <v>21</v>
      </c>
      <c r="E57">
        <v>2600</v>
      </c>
    </row>
    <row r="58" spans="1:5">
      <c r="A58" s="4">
        <v>45996</v>
      </c>
      <c r="B58" t="s">
        <v>44</v>
      </c>
      <c r="C58" t="s">
        <v>11</v>
      </c>
      <c r="D58" t="s">
        <v>12</v>
      </c>
      <c r="E58">
        <v>12000</v>
      </c>
    </row>
    <row r="59" spans="1:5">
      <c r="A59" s="4">
        <v>46000</v>
      </c>
      <c r="B59" t="s">
        <v>44</v>
      </c>
      <c r="C59" t="s">
        <v>13</v>
      </c>
      <c r="D59" t="s">
        <v>14</v>
      </c>
      <c r="E59">
        <v>5400</v>
      </c>
    </row>
    <row r="60" spans="1:5">
      <c r="A60" s="4">
        <v>46005</v>
      </c>
      <c r="B60" t="s">
        <v>44</v>
      </c>
      <c r="C60" t="s">
        <v>15</v>
      </c>
      <c r="D60" t="s">
        <v>45</v>
      </c>
      <c r="E60">
        <v>3600</v>
      </c>
    </row>
    <row r="61" spans="1:5">
      <c r="A61" s="4">
        <v>46011</v>
      </c>
      <c r="B61" t="s">
        <v>44</v>
      </c>
      <c r="C61" t="s">
        <v>18</v>
      </c>
      <c r="D61" t="s">
        <v>46</v>
      </c>
      <c r="E61">
        <v>4000</v>
      </c>
    </row>
    <row r="62" spans="1:5">
      <c r="A62" s="4">
        <v>46017</v>
      </c>
      <c r="B62" t="s">
        <v>44</v>
      </c>
      <c r="C62" t="s">
        <v>20</v>
      </c>
      <c r="D62" t="s">
        <v>21</v>
      </c>
      <c r="E62">
        <v>3000</v>
      </c>
    </row>
    <row r="63" spans="1:5">
      <c r="A63" s="4"/>
    </row>
    <row r="64" spans="1:5">
      <c r="A64" s="4"/>
    </row>
    <row r="65" spans="1:1">
      <c r="A65" s="4"/>
    </row>
    <row r="66" spans="1:1">
      <c r="A66" s="4"/>
    </row>
    <row r="67" spans="1:1">
      <c r="A67" s="4"/>
    </row>
    <row r="68" spans="1:1">
      <c r="A68" s="4"/>
    </row>
    <row r="69" spans="1:1">
      <c r="A69" s="4"/>
    </row>
    <row r="70" spans="1:1">
      <c r="A70" s="4"/>
    </row>
    <row r="71" spans="1:1">
      <c r="A7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8"/>
  <sheetViews>
    <sheetView topLeftCell="A25" workbookViewId="0">
      <selection activeCell="G47" sqref="G47"/>
    </sheetView>
  </sheetViews>
  <sheetFormatPr defaultRowHeight="14.25"/>
  <cols>
    <col min="1" max="1" width="13.125" bestFit="1" customWidth="1"/>
    <col min="2" max="2" width="20.125" bestFit="1" customWidth="1"/>
    <col min="8" max="8" width="15.375" customWidth="1"/>
    <col min="9" max="9" width="20.125" bestFit="1" customWidth="1"/>
  </cols>
  <sheetData>
    <row r="3" spans="1:9">
      <c r="A3" s="14" t="s">
        <v>47</v>
      </c>
      <c r="B3" t="s">
        <v>49</v>
      </c>
      <c r="D3" s="14" t="s">
        <v>47</v>
      </c>
      <c r="E3" t="s">
        <v>49</v>
      </c>
      <c r="H3" s="14" t="s">
        <v>47</v>
      </c>
      <c r="I3" t="s">
        <v>49</v>
      </c>
    </row>
    <row r="4" spans="1:9">
      <c r="A4" s="15" t="s">
        <v>18</v>
      </c>
      <c r="B4" s="16">
        <v>28400</v>
      </c>
      <c r="D4" s="15" t="s">
        <v>18</v>
      </c>
      <c r="E4" s="16">
        <v>28400</v>
      </c>
      <c r="H4" s="15" t="s">
        <v>27</v>
      </c>
      <c r="I4" s="16">
        <v>7900</v>
      </c>
    </row>
    <row r="5" spans="1:9">
      <c r="A5" s="15" t="s">
        <v>13</v>
      </c>
      <c r="B5" s="16">
        <v>55800</v>
      </c>
      <c r="D5" s="15" t="s">
        <v>13</v>
      </c>
      <c r="E5" s="16">
        <v>55800</v>
      </c>
      <c r="H5" s="15" t="s">
        <v>16</v>
      </c>
      <c r="I5" s="16">
        <v>6000</v>
      </c>
    </row>
    <row r="6" spans="1:9">
      <c r="A6" s="15" t="s">
        <v>11</v>
      </c>
      <c r="B6" s="16">
        <v>144000</v>
      </c>
      <c r="D6" s="15" t="s">
        <v>11</v>
      </c>
      <c r="E6" s="16">
        <v>144000</v>
      </c>
      <c r="H6" s="15" t="s">
        <v>21</v>
      </c>
      <c r="I6" s="16">
        <v>28400</v>
      </c>
    </row>
    <row r="7" spans="1:9">
      <c r="A7" s="15" t="s">
        <v>15</v>
      </c>
      <c r="B7" s="16">
        <v>36000</v>
      </c>
      <c r="D7" s="15" t="s">
        <v>15</v>
      </c>
      <c r="E7" s="16">
        <v>36000</v>
      </c>
      <c r="H7" s="15" t="s">
        <v>42</v>
      </c>
      <c r="I7" s="16">
        <v>3500</v>
      </c>
    </row>
    <row r="8" spans="1:9">
      <c r="A8" s="15" t="s">
        <v>20</v>
      </c>
      <c r="B8" s="16">
        <v>30800</v>
      </c>
      <c r="D8" s="15" t="s">
        <v>20</v>
      </c>
      <c r="E8" s="16">
        <v>30800</v>
      </c>
      <c r="H8" s="15" t="s">
        <v>31</v>
      </c>
      <c r="I8" s="16">
        <v>18500</v>
      </c>
    </row>
    <row r="9" spans="1:9">
      <c r="A9" s="15" t="s">
        <v>48</v>
      </c>
      <c r="B9" s="16">
        <v>295000</v>
      </c>
      <c r="D9" s="15" t="s">
        <v>48</v>
      </c>
      <c r="E9" s="16">
        <v>295000</v>
      </c>
      <c r="H9" s="15" t="s">
        <v>14</v>
      </c>
      <c r="I9" s="16">
        <v>55800</v>
      </c>
    </row>
    <row r="10" spans="1:9">
      <c r="H10" s="15" t="s">
        <v>12</v>
      </c>
      <c r="I10" s="16">
        <v>144000</v>
      </c>
    </row>
    <row r="11" spans="1:9">
      <c r="H11" s="15" t="s">
        <v>19</v>
      </c>
      <c r="I11" s="16">
        <v>10300</v>
      </c>
    </row>
    <row r="12" spans="1:9">
      <c r="H12" s="15" t="s">
        <v>28</v>
      </c>
      <c r="I12" s="16">
        <v>3500</v>
      </c>
    </row>
    <row r="13" spans="1:9">
      <c r="H13" s="15" t="s">
        <v>34</v>
      </c>
      <c r="I13" s="16">
        <v>4300</v>
      </c>
    </row>
    <row r="14" spans="1:9">
      <c r="H14" s="15" t="s">
        <v>45</v>
      </c>
      <c r="I14" s="16">
        <v>3600</v>
      </c>
    </row>
    <row r="15" spans="1:9">
      <c r="H15" s="15" t="s">
        <v>37</v>
      </c>
      <c r="I15" s="16">
        <v>2800</v>
      </c>
    </row>
    <row r="16" spans="1:9">
      <c r="H16" s="15" t="s">
        <v>24</v>
      </c>
      <c r="I16" s="16">
        <v>2400</v>
      </c>
    </row>
    <row r="17" spans="8:9">
      <c r="H17" s="15" t="s">
        <v>46</v>
      </c>
      <c r="I17" s="16">
        <v>4000</v>
      </c>
    </row>
    <row r="18" spans="8:9">
      <c r="H18" s="15" t="s">
        <v>48</v>
      </c>
      <c r="I18" s="16">
        <v>295000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4" zoomScale="62" zoomScaleNormal="62" workbookViewId="0">
      <selection activeCell="V20" sqref="V20"/>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H17" sqref="H17"/>
    </sheetView>
  </sheetViews>
  <sheetFormatPr defaultRowHeight="14.25"/>
  <cols>
    <col min="1" max="1" width="15.5" customWidth="1"/>
    <col min="5" max="5" width="12" customWidth="1"/>
    <col min="8" max="8" width="33.125" customWidth="1"/>
  </cols>
  <sheetData>
    <row r="1" spans="1:8" ht="15.75">
      <c r="A1" s="1" t="s">
        <v>0</v>
      </c>
      <c r="B1" s="2" t="s">
        <v>1</v>
      </c>
      <c r="C1" s="2" t="s">
        <v>2</v>
      </c>
      <c r="D1" s="2" t="s">
        <v>3</v>
      </c>
      <c r="E1" s="2" t="s">
        <v>4</v>
      </c>
    </row>
    <row r="2" spans="1:8">
      <c r="A2" s="8">
        <v>45662</v>
      </c>
      <c r="B2" s="9" t="s">
        <v>10</v>
      </c>
      <c r="C2" s="9" t="s">
        <v>11</v>
      </c>
      <c r="D2" s="9" t="s">
        <v>12</v>
      </c>
      <c r="E2" s="9">
        <v>12000</v>
      </c>
    </row>
    <row r="3" spans="1:8">
      <c r="A3" s="10">
        <v>45665</v>
      </c>
      <c r="B3" s="11" t="s">
        <v>10</v>
      </c>
      <c r="C3" s="11" t="s">
        <v>13</v>
      </c>
      <c r="D3" s="11" t="s">
        <v>14</v>
      </c>
      <c r="E3" s="11">
        <v>4200</v>
      </c>
    </row>
    <row r="4" spans="1:8">
      <c r="A4" s="8">
        <v>45669</v>
      </c>
      <c r="B4" s="9" t="s">
        <v>10</v>
      </c>
      <c r="C4" s="9" t="s">
        <v>15</v>
      </c>
      <c r="D4" s="9" t="s">
        <v>16</v>
      </c>
      <c r="E4" s="9">
        <v>2800</v>
      </c>
    </row>
    <row r="5" spans="1:8">
      <c r="A5" s="10">
        <v>45675</v>
      </c>
      <c r="B5" s="11" t="s">
        <v>10</v>
      </c>
      <c r="C5" s="11" t="s">
        <v>18</v>
      </c>
      <c r="D5" s="11" t="s">
        <v>19</v>
      </c>
      <c r="E5" s="11">
        <v>2300</v>
      </c>
    </row>
    <row r="6" spans="1:8">
      <c r="A6" s="8">
        <v>45682</v>
      </c>
      <c r="B6" s="9" t="s">
        <v>10</v>
      </c>
      <c r="C6" s="9" t="s">
        <v>20</v>
      </c>
      <c r="D6" s="9" t="s">
        <v>21</v>
      </c>
      <c r="E6" s="9">
        <v>2600</v>
      </c>
    </row>
    <row r="7" spans="1:8">
      <c r="A7" s="10">
        <v>45693</v>
      </c>
      <c r="B7" s="11" t="s">
        <v>22</v>
      </c>
      <c r="C7" s="11" t="s">
        <v>11</v>
      </c>
      <c r="D7" s="11" t="s">
        <v>12</v>
      </c>
      <c r="E7" s="11">
        <v>12000</v>
      </c>
    </row>
    <row r="8" spans="1:8">
      <c r="A8" s="8">
        <v>45697</v>
      </c>
      <c r="B8" s="9" t="s">
        <v>22</v>
      </c>
      <c r="C8" s="9" t="s">
        <v>13</v>
      </c>
      <c r="D8" s="9" t="s">
        <v>14</v>
      </c>
      <c r="E8" s="9">
        <v>5100</v>
      </c>
    </row>
    <row r="9" spans="1:8">
      <c r="A9" s="10">
        <v>45700</v>
      </c>
      <c r="B9" s="11" t="s">
        <v>22</v>
      </c>
      <c r="C9" s="11" t="s">
        <v>15</v>
      </c>
      <c r="D9" s="11" t="s">
        <v>16</v>
      </c>
      <c r="E9" s="11">
        <v>3200</v>
      </c>
    </row>
    <row r="10" spans="1:8" ht="15">
      <c r="A10" s="8">
        <v>45706</v>
      </c>
      <c r="B10" s="9" t="s">
        <v>22</v>
      </c>
      <c r="C10" s="9" t="s">
        <v>18</v>
      </c>
      <c r="D10" s="9" t="s">
        <v>19</v>
      </c>
      <c r="E10" s="9">
        <v>1900</v>
      </c>
      <c r="H10" s="5" t="s">
        <v>17</v>
      </c>
    </row>
    <row r="11" spans="1:8">
      <c r="A11" s="10">
        <v>45712</v>
      </c>
      <c r="B11" s="11" t="s">
        <v>22</v>
      </c>
      <c r="C11" s="11" t="s">
        <v>20</v>
      </c>
      <c r="D11" s="11" t="s">
        <v>24</v>
      </c>
      <c r="E11" s="11">
        <v>2400</v>
      </c>
      <c r="H11" s="6">
        <f>SUM(E8:E67)</f>
        <v>259100</v>
      </c>
    </row>
    <row r="12" spans="1:8">
      <c r="A12" s="8">
        <v>45721</v>
      </c>
      <c r="B12" s="9" t="s">
        <v>25</v>
      </c>
      <c r="C12" s="9" t="s">
        <v>11</v>
      </c>
      <c r="D12" s="9" t="s">
        <v>12</v>
      </c>
      <c r="E12" s="9">
        <v>12000</v>
      </c>
    </row>
    <row r="13" spans="1:8">
      <c r="A13" s="10">
        <v>45724</v>
      </c>
      <c r="B13" s="11" t="s">
        <v>25</v>
      </c>
      <c r="C13" s="11" t="s">
        <v>13</v>
      </c>
      <c r="D13" s="11" t="s">
        <v>14</v>
      </c>
      <c r="E13" s="11">
        <v>3900</v>
      </c>
    </row>
    <row r="14" spans="1:8">
      <c r="A14" s="8">
        <v>45730</v>
      </c>
      <c r="B14" s="9" t="s">
        <v>25</v>
      </c>
      <c r="C14" s="9" t="s">
        <v>15</v>
      </c>
      <c r="D14" s="9" t="s">
        <v>27</v>
      </c>
      <c r="E14" s="9">
        <v>2600</v>
      </c>
    </row>
    <row r="15" spans="1:8" ht="15">
      <c r="A15" s="10">
        <v>45736</v>
      </c>
      <c r="B15" s="11" t="s">
        <v>25</v>
      </c>
      <c r="C15" s="11" t="s">
        <v>18</v>
      </c>
      <c r="D15" s="11" t="s">
        <v>28</v>
      </c>
      <c r="E15" s="11">
        <v>1500</v>
      </c>
      <c r="H15" s="2" t="s">
        <v>23</v>
      </c>
    </row>
    <row r="16" spans="1:8">
      <c r="A16" s="8">
        <v>45742</v>
      </c>
      <c r="B16" s="9" t="s">
        <v>25</v>
      </c>
      <c r="C16" s="9" t="s">
        <v>20</v>
      </c>
      <c r="D16" s="9" t="s">
        <v>21</v>
      </c>
      <c r="E16" s="9">
        <v>2300</v>
      </c>
      <c r="H16" s="6">
        <f>SUMIF(C:C,"food",E:E)</f>
        <v>55800</v>
      </c>
    </row>
    <row r="17" spans="1:8">
      <c r="A17" s="10">
        <v>45752</v>
      </c>
      <c r="B17" s="11" t="s">
        <v>29</v>
      </c>
      <c r="C17" s="11" t="s">
        <v>11</v>
      </c>
      <c r="D17" s="11" t="s">
        <v>12</v>
      </c>
      <c r="E17" s="11">
        <v>12000</v>
      </c>
    </row>
    <row r="18" spans="1:8">
      <c r="A18" s="8">
        <v>45756</v>
      </c>
      <c r="B18" s="9" t="s">
        <v>29</v>
      </c>
      <c r="C18" s="9" t="s">
        <v>13</v>
      </c>
      <c r="D18" s="9" t="s">
        <v>14</v>
      </c>
      <c r="E18" s="9">
        <v>4500</v>
      </c>
    </row>
    <row r="19" spans="1:8" ht="15">
      <c r="A19" s="10">
        <v>45760</v>
      </c>
      <c r="B19" s="11" t="s">
        <v>29</v>
      </c>
      <c r="C19" s="11" t="s">
        <v>15</v>
      </c>
      <c r="D19" s="11" t="s">
        <v>31</v>
      </c>
      <c r="E19" s="11">
        <v>3000</v>
      </c>
      <c r="H19" s="2" t="s">
        <v>26</v>
      </c>
    </row>
    <row r="20" spans="1:8">
      <c r="A20" s="8">
        <v>45766</v>
      </c>
      <c r="B20" s="9" t="s">
        <v>29</v>
      </c>
      <c r="C20" s="9" t="s">
        <v>18</v>
      </c>
      <c r="D20" s="9" t="s">
        <v>19</v>
      </c>
      <c r="E20" s="9">
        <v>2200</v>
      </c>
      <c r="H20" s="6">
        <f>AVERAGE(E8:E67)</f>
        <v>4798.1481481481478</v>
      </c>
    </row>
    <row r="21" spans="1:8">
      <c r="A21" s="10">
        <v>45772</v>
      </c>
      <c r="B21" s="11" t="s">
        <v>29</v>
      </c>
      <c r="C21" s="11" t="s">
        <v>20</v>
      </c>
      <c r="D21" s="11" t="s">
        <v>21</v>
      </c>
      <c r="E21" s="11">
        <v>2500</v>
      </c>
    </row>
    <row r="22" spans="1:8">
      <c r="A22" s="8">
        <v>45782</v>
      </c>
      <c r="B22" s="9" t="s">
        <v>33</v>
      </c>
      <c r="C22" s="9" t="s">
        <v>11</v>
      </c>
      <c r="D22" s="9" t="s">
        <v>12</v>
      </c>
      <c r="E22" s="9">
        <v>12000</v>
      </c>
    </row>
    <row r="23" spans="1:8">
      <c r="A23" s="10">
        <v>45785</v>
      </c>
      <c r="B23" s="11" t="s">
        <v>33</v>
      </c>
      <c r="C23" s="11" t="s">
        <v>13</v>
      </c>
      <c r="D23" s="11" t="s">
        <v>14</v>
      </c>
      <c r="E23" s="11">
        <v>4800</v>
      </c>
      <c r="H23" s="7" t="s">
        <v>30</v>
      </c>
    </row>
    <row r="24" spans="1:8">
      <c r="A24" s="8">
        <v>45791</v>
      </c>
      <c r="B24" s="9" t="s">
        <v>33</v>
      </c>
      <c r="C24" s="9" t="s">
        <v>15</v>
      </c>
      <c r="D24" s="9" t="s">
        <v>31</v>
      </c>
      <c r="E24" s="9">
        <v>2900</v>
      </c>
      <c r="H24" s="6">
        <f>SUMIF(B:B,"January",E:E)</f>
        <v>23900</v>
      </c>
    </row>
    <row r="25" spans="1:8">
      <c r="A25" s="10">
        <v>45797</v>
      </c>
      <c r="B25" s="11" t="s">
        <v>33</v>
      </c>
      <c r="C25" s="11" t="s">
        <v>18</v>
      </c>
      <c r="D25" s="11" t="s">
        <v>34</v>
      </c>
      <c r="E25" s="11">
        <v>2100</v>
      </c>
    </row>
    <row r="26" spans="1:8">
      <c r="A26" s="8">
        <v>45803</v>
      </c>
      <c r="B26" s="9" t="s">
        <v>33</v>
      </c>
      <c r="C26" s="9" t="s">
        <v>20</v>
      </c>
      <c r="D26" s="9" t="s">
        <v>21</v>
      </c>
      <c r="E26" s="9">
        <v>2600</v>
      </c>
    </row>
    <row r="27" spans="1:8">
      <c r="A27" s="10">
        <v>45813</v>
      </c>
      <c r="B27" s="11" t="s">
        <v>35</v>
      </c>
      <c r="C27" s="11" t="s">
        <v>11</v>
      </c>
      <c r="D27" s="11" t="s">
        <v>12</v>
      </c>
      <c r="E27" s="11">
        <v>12000</v>
      </c>
      <c r="H27" s="7" t="s">
        <v>32</v>
      </c>
    </row>
    <row r="28" spans="1:8">
      <c r="A28" s="8">
        <v>45817</v>
      </c>
      <c r="B28" s="9" t="s">
        <v>35</v>
      </c>
      <c r="C28" s="9" t="s">
        <v>13</v>
      </c>
      <c r="D28" s="9" t="s">
        <v>14</v>
      </c>
      <c r="E28" s="9">
        <v>5200</v>
      </c>
      <c r="H28" s="6">
        <f>SUMIFS(E:E,B:B,"January",C:C,"Food")</f>
        <v>4200</v>
      </c>
    </row>
    <row r="29" spans="1:8">
      <c r="A29" s="10">
        <v>45821</v>
      </c>
      <c r="B29" s="11" t="s">
        <v>35</v>
      </c>
      <c r="C29" s="11" t="s">
        <v>15</v>
      </c>
      <c r="D29" s="11" t="s">
        <v>31</v>
      </c>
      <c r="E29" s="11">
        <v>3300</v>
      </c>
    </row>
    <row r="30" spans="1:8">
      <c r="A30" s="8">
        <v>45826</v>
      </c>
      <c r="B30" s="9" t="s">
        <v>35</v>
      </c>
      <c r="C30" s="9" t="s">
        <v>18</v>
      </c>
      <c r="D30" s="9" t="s">
        <v>37</v>
      </c>
      <c r="E30" s="9">
        <v>2800</v>
      </c>
    </row>
    <row r="31" spans="1:8">
      <c r="A31" s="10">
        <v>45833</v>
      </c>
      <c r="B31" s="11" t="s">
        <v>35</v>
      </c>
      <c r="C31" s="11" t="s">
        <v>20</v>
      </c>
      <c r="D31" s="11" t="s">
        <v>21</v>
      </c>
      <c r="E31" s="11">
        <v>2700</v>
      </c>
    </row>
    <row r="32" spans="1:8">
      <c r="A32" s="8">
        <v>45843</v>
      </c>
      <c r="B32" s="9" t="s">
        <v>38</v>
      </c>
      <c r="C32" s="9" t="s">
        <v>11</v>
      </c>
      <c r="D32" s="9" t="s">
        <v>12</v>
      </c>
      <c r="E32" s="9">
        <v>12000</v>
      </c>
    </row>
    <row r="33" spans="1:8">
      <c r="A33" s="10">
        <v>45846</v>
      </c>
      <c r="B33" s="11" t="s">
        <v>38</v>
      </c>
      <c r="C33" s="11" t="s">
        <v>13</v>
      </c>
      <c r="D33" s="11" t="s">
        <v>14</v>
      </c>
      <c r="E33" s="11">
        <v>4100</v>
      </c>
      <c r="H33" s="7" t="s">
        <v>36</v>
      </c>
    </row>
    <row r="34" spans="1:8">
      <c r="A34" s="8">
        <v>45850</v>
      </c>
      <c r="B34" s="9" t="s">
        <v>38</v>
      </c>
      <c r="C34" s="9" t="s">
        <v>15</v>
      </c>
      <c r="D34" s="9" t="s">
        <v>27</v>
      </c>
      <c r="E34" s="9">
        <v>2600</v>
      </c>
      <c r="H34" s="6">
        <f>AVERAGEIF(B:B,"January",E:E)</f>
        <v>4780</v>
      </c>
    </row>
    <row r="35" spans="1:8">
      <c r="A35" s="10">
        <v>45857</v>
      </c>
      <c r="B35" s="11" t="s">
        <v>38</v>
      </c>
      <c r="C35" s="11" t="s">
        <v>18</v>
      </c>
      <c r="D35" s="11" t="s">
        <v>19</v>
      </c>
      <c r="E35" s="11">
        <v>1800</v>
      </c>
    </row>
    <row r="36" spans="1:8">
      <c r="A36" s="8">
        <v>45864</v>
      </c>
      <c r="B36" s="9" t="s">
        <v>38</v>
      </c>
      <c r="C36" s="9" t="s">
        <v>20</v>
      </c>
      <c r="D36" s="9" t="s">
        <v>21</v>
      </c>
      <c r="E36" s="9">
        <v>2400</v>
      </c>
    </row>
    <row r="37" spans="1:8">
      <c r="A37" s="10">
        <v>45874</v>
      </c>
      <c r="B37" s="11" t="s">
        <v>39</v>
      </c>
      <c r="C37" s="11" t="s">
        <v>11</v>
      </c>
      <c r="D37" s="11" t="s">
        <v>12</v>
      </c>
      <c r="E37" s="11">
        <v>12000</v>
      </c>
    </row>
    <row r="38" spans="1:8">
      <c r="A38" s="8">
        <v>45878</v>
      </c>
      <c r="B38" s="9" t="s">
        <v>39</v>
      </c>
      <c r="C38" s="9" t="s">
        <v>13</v>
      </c>
      <c r="D38" s="9" t="s">
        <v>14</v>
      </c>
      <c r="E38" s="9">
        <v>4700</v>
      </c>
    </row>
    <row r="39" spans="1:8">
      <c r="A39" s="10">
        <v>45883</v>
      </c>
      <c r="B39" s="11" t="s">
        <v>39</v>
      </c>
      <c r="C39" s="11" t="s">
        <v>15</v>
      </c>
      <c r="D39" s="11" t="s">
        <v>31</v>
      </c>
      <c r="E39" s="11">
        <v>3100</v>
      </c>
    </row>
    <row r="40" spans="1:8">
      <c r="A40" s="8">
        <v>45889</v>
      </c>
      <c r="B40" s="9" t="s">
        <v>39</v>
      </c>
      <c r="C40" s="9" t="s">
        <v>18</v>
      </c>
      <c r="D40" s="9" t="s">
        <v>34</v>
      </c>
      <c r="E40" s="9">
        <v>2200</v>
      </c>
    </row>
    <row r="41" spans="1:8">
      <c r="A41" s="10">
        <v>45895</v>
      </c>
      <c r="B41" s="11" t="s">
        <v>39</v>
      </c>
      <c r="C41" s="11" t="s">
        <v>20</v>
      </c>
      <c r="D41" s="11" t="s">
        <v>21</v>
      </c>
      <c r="E41" s="11">
        <v>2500</v>
      </c>
    </row>
    <row r="42" spans="1:8">
      <c r="A42" s="8">
        <v>45905</v>
      </c>
      <c r="B42" s="9" t="s">
        <v>40</v>
      </c>
      <c r="C42" s="9" t="s">
        <v>11</v>
      </c>
      <c r="D42" s="9" t="s">
        <v>12</v>
      </c>
      <c r="E42" s="9">
        <v>12000</v>
      </c>
    </row>
    <row r="43" spans="1:8">
      <c r="A43" s="10">
        <v>45908</v>
      </c>
      <c r="B43" s="11" t="s">
        <v>40</v>
      </c>
      <c r="C43" s="11" t="s">
        <v>13</v>
      </c>
      <c r="D43" s="11" t="s">
        <v>14</v>
      </c>
      <c r="E43" s="11">
        <v>4300</v>
      </c>
    </row>
    <row r="44" spans="1:8">
      <c r="A44" s="8">
        <v>45913</v>
      </c>
      <c r="B44" s="9" t="s">
        <v>40</v>
      </c>
      <c r="C44" s="9" t="s">
        <v>15</v>
      </c>
      <c r="D44" s="9" t="s">
        <v>27</v>
      </c>
      <c r="E44" s="9">
        <v>2700</v>
      </c>
    </row>
    <row r="45" spans="1:8">
      <c r="A45" s="10">
        <v>45918</v>
      </c>
      <c r="B45" s="11" t="s">
        <v>40</v>
      </c>
      <c r="C45" s="11" t="s">
        <v>18</v>
      </c>
      <c r="D45" s="11" t="s">
        <v>28</v>
      </c>
      <c r="E45" s="11">
        <v>2000</v>
      </c>
    </row>
    <row r="46" spans="1:8">
      <c r="A46" s="8">
        <v>45925</v>
      </c>
      <c r="B46" s="9" t="s">
        <v>40</v>
      </c>
      <c r="C46" s="9" t="s">
        <v>20</v>
      </c>
      <c r="D46" s="9" t="s">
        <v>21</v>
      </c>
      <c r="E46" s="9">
        <v>2400</v>
      </c>
    </row>
    <row r="47" spans="1:8">
      <c r="A47" s="10">
        <v>45935</v>
      </c>
      <c r="B47" s="11" t="s">
        <v>41</v>
      </c>
      <c r="C47" s="11" t="s">
        <v>11</v>
      </c>
      <c r="D47" s="11" t="s">
        <v>12</v>
      </c>
      <c r="E47" s="11">
        <v>12000</v>
      </c>
    </row>
    <row r="48" spans="1:8">
      <c r="A48" s="8">
        <v>45939</v>
      </c>
      <c r="B48" s="9" t="s">
        <v>41</v>
      </c>
      <c r="C48" s="9" t="s">
        <v>13</v>
      </c>
      <c r="D48" s="9" t="s">
        <v>14</v>
      </c>
      <c r="E48" s="9">
        <v>5000</v>
      </c>
    </row>
    <row r="49" spans="1:5">
      <c r="A49" s="10">
        <v>45944</v>
      </c>
      <c r="B49" s="11" t="s">
        <v>41</v>
      </c>
      <c r="C49" s="11" t="s">
        <v>15</v>
      </c>
      <c r="D49" s="11" t="s">
        <v>31</v>
      </c>
      <c r="E49" s="11">
        <v>3200</v>
      </c>
    </row>
    <row r="50" spans="1:5">
      <c r="A50" s="8">
        <v>45950</v>
      </c>
      <c r="B50" s="9" t="s">
        <v>41</v>
      </c>
      <c r="C50" s="9" t="s">
        <v>18</v>
      </c>
      <c r="D50" s="9" t="s">
        <v>42</v>
      </c>
      <c r="E50" s="9">
        <v>3500</v>
      </c>
    </row>
    <row r="51" spans="1:5">
      <c r="A51" s="10">
        <v>45956</v>
      </c>
      <c r="B51" s="11" t="s">
        <v>41</v>
      </c>
      <c r="C51" s="11" t="s">
        <v>20</v>
      </c>
      <c r="D51" s="11" t="s">
        <v>21</v>
      </c>
      <c r="E51" s="11">
        <v>2800</v>
      </c>
    </row>
    <row r="52" spans="1:5">
      <c r="A52" s="8">
        <v>45966</v>
      </c>
      <c r="B52" s="9" t="s">
        <v>43</v>
      </c>
      <c r="C52" s="9" t="s">
        <v>11</v>
      </c>
      <c r="D52" s="9" t="s">
        <v>12</v>
      </c>
      <c r="E52" s="9">
        <v>12000</v>
      </c>
    </row>
    <row r="53" spans="1:5">
      <c r="A53" s="10">
        <v>45969</v>
      </c>
      <c r="B53" s="11" t="s">
        <v>43</v>
      </c>
      <c r="C53" s="11" t="s">
        <v>13</v>
      </c>
      <c r="D53" s="11" t="s">
        <v>14</v>
      </c>
      <c r="E53" s="11">
        <v>4600</v>
      </c>
    </row>
    <row r="54" spans="1:5">
      <c r="A54" s="8">
        <v>45974</v>
      </c>
      <c r="B54" s="9" t="s">
        <v>43</v>
      </c>
      <c r="C54" s="9" t="s">
        <v>15</v>
      </c>
      <c r="D54" s="9" t="s">
        <v>31</v>
      </c>
      <c r="E54" s="9">
        <v>3000</v>
      </c>
    </row>
    <row r="55" spans="1:5">
      <c r="A55" s="10">
        <v>45980</v>
      </c>
      <c r="B55" s="11" t="s">
        <v>43</v>
      </c>
      <c r="C55" s="11" t="s">
        <v>18</v>
      </c>
      <c r="D55" s="11" t="s">
        <v>19</v>
      </c>
      <c r="E55" s="11">
        <v>2100</v>
      </c>
    </row>
    <row r="56" spans="1:5">
      <c r="A56" s="8">
        <v>45986</v>
      </c>
      <c r="B56" s="9" t="s">
        <v>43</v>
      </c>
      <c r="C56" s="9" t="s">
        <v>20</v>
      </c>
      <c r="D56" s="9" t="s">
        <v>21</v>
      </c>
      <c r="E56" s="9">
        <v>2600</v>
      </c>
    </row>
    <row r="57" spans="1:5">
      <c r="A57" s="10">
        <v>45996</v>
      </c>
      <c r="B57" s="11" t="s">
        <v>44</v>
      </c>
      <c r="C57" s="11" t="s">
        <v>11</v>
      </c>
      <c r="D57" s="11" t="s">
        <v>12</v>
      </c>
      <c r="E57" s="11">
        <v>12000</v>
      </c>
    </row>
    <row r="58" spans="1:5">
      <c r="A58" s="8">
        <v>46000</v>
      </c>
      <c r="B58" s="9" t="s">
        <v>44</v>
      </c>
      <c r="C58" s="9" t="s">
        <v>13</v>
      </c>
      <c r="D58" s="9" t="s">
        <v>14</v>
      </c>
      <c r="E58" s="9">
        <v>5400</v>
      </c>
    </row>
    <row r="59" spans="1:5">
      <c r="A59" s="10">
        <v>46005</v>
      </c>
      <c r="B59" s="11" t="s">
        <v>44</v>
      </c>
      <c r="C59" s="11" t="s">
        <v>15</v>
      </c>
      <c r="D59" s="11" t="s">
        <v>45</v>
      </c>
      <c r="E59" s="11">
        <v>3600</v>
      </c>
    </row>
    <row r="60" spans="1:5">
      <c r="A60" s="8">
        <v>46011</v>
      </c>
      <c r="B60" s="9" t="s">
        <v>44</v>
      </c>
      <c r="C60" s="9" t="s">
        <v>18</v>
      </c>
      <c r="D60" s="9" t="s">
        <v>46</v>
      </c>
      <c r="E60" s="9">
        <v>4000</v>
      </c>
    </row>
    <row r="61" spans="1:5">
      <c r="A61" s="12">
        <v>46017</v>
      </c>
      <c r="B61" s="13" t="s">
        <v>44</v>
      </c>
      <c r="C61" s="13" t="s">
        <v>20</v>
      </c>
      <c r="D61" s="13" t="s">
        <v>21</v>
      </c>
      <c r="E61" s="13">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Sheet8</vt:lpstr>
      <vt:lpstr>Sheet2</vt:lpstr>
      <vt:lpstr>Sheet7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2026-01-22T05:00:13Z</dcterms:modified>
</cp:coreProperties>
</file>